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xuan\Dropbox\CCG\MinFin\data\"/>
    </mc:Choice>
  </mc:AlternateContent>
  <xr:revisionPtr revIDLastSave="0" documentId="13_ncr:1_{AC4C1534-4C84-4550-847E-A743DD29F949}" xr6:coauthVersionLast="47" xr6:coauthVersionMax="47" xr10:uidLastSave="{00000000-0000-0000-0000-000000000000}"/>
  <bookViews>
    <workbookView xWindow="-98" yWindow="-98" windowWidth="28996" windowHeight="15675" firstSheet="2" activeTab="6" xr2:uid="{2AA9AD65-6B07-564E-A166-43CF81F42B90}"/>
  </bookViews>
  <sheets>
    <sheet name="COVER" sheetId="6" r:id="rId1"/>
    <sheet name="MACROECONOMIC" sheetId="7" r:id="rId2"/>
    <sheet name="TECHNOLOGY REGISTER" sheetId="11" r:id="rId3"/>
    <sheet name="INVESTMENT PLAN" sheetId="8" r:id="rId4"/>
    <sheet name="EXISTING INFRASTRUCTURE" sheetId="9" r:id="rId5"/>
    <sheet name="NEW INFRASTRUCTURE" sheetId="17" r:id="rId6"/>
    <sheet name="PPA REVENUE" sheetId="12" r:id="rId7"/>
    <sheet name="WHOLESALE REVENUE" sheetId="16" r:id="rId8"/>
    <sheet name="OTHER REVENUE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7" l="1"/>
  <c r="B52" i="17"/>
  <c r="B53" i="17"/>
  <c r="B54" i="17"/>
  <c r="B55" i="17"/>
  <c r="D467" i="16"/>
  <c r="D468" i="16"/>
  <c r="D469" i="16"/>
  <c r="D470" i="16"/>
  <c r="D471" i="16"/>
  <c r="D472" i="16"/>
  <c r="D473" i="16"/>
  <c r="D474" i="16"/>
  <c r="D475" i="16"/>
  <c r="D476" i="16"/>
  <c r="D477" i="16"/>
  <c r="D478" i="16"/>
  <c r="D479" i="16"/>
  <c r="D480" i="16"/>
  <c r="D481" i="16"/>
  <c r="D482" i="16"/>
  <c r="D483" i="16"/>
  <c r="D484" i="16"/>
  <c r="D485" i="16"/>
  <c r="D486" i="16"/>
  <c r="D487" i="16"/>
  <c r="D488" i="16"/>
  <c r="D489" i="16"/>
  <c r="D490" i="16"/>
  <c r="D491" i="16"/>
  <c r="D492" i="16"/>
  <c r="D493" i="16"/>
  <c r="D494" i="16"/>
  <c r="D495" i="16"/>
  <c r="D496" i="16"/>
  <c r="D497" i="16"/>
  <c r="D498" i="16"/>
  <c r="D499" i="16"/>
  <c r="D500" i="16"/>
  <c r="D501" i="16"/>
  <c r="D502" i="16"/>
  <c r="D503" i="16"/>
  <c r="D504" i="16"/>
  <c r="D505" i="16"/>
  <c r="D506" i="16"/>
  <c r="D507" i="16"/>
  <c r="D508" i="16"/>
  <c r="D509" i="16"/>
  <c r="D510" i="16"/>
  <c r="D511" i="16"/>
  <c r="D512" i="16"/>
  <c r="D513" i="16"/>
  <c r="D514" i="16"/>
  <c r="D416" i="16"/>
  <c r="D417" i="16"/>
  <c r="D418" i="16"/>
  <c r="D419" i="16"/>
  <c r="D420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33" i="16"/>
  <c r="D434" i="16"/>
  <c r="D435" i="16"/>
  <c r="D436" i="16"/>
  <c r="D437" i="16"/>
  <c r="D438" i="16"/>
  <c r="D439" i="16"/>
  <c r="D440" i="16"/>
  <c r="D441" i="16"/>
  <c r="D442" i="16"/>
  <c r="D443" i="16"/>
  <c r="D444" i="16"/>
  <c r="D445" i="16"/>
  <c r="D446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D459" i="16"/>
  <c r="D460" i="16"/>
  <c r="D461" i="16"/>
  <c r="D462" i="16"/>
  <c r="D463" i="16"/>
  <c r="D365" i="16"/>
  <c r="D366" i="16"/>
  <c r="D367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0" i="16"/>
  <c r="D381" i="16"/>
  <c r="D382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D329" i="16"/>
  <c r="D330" i="16"/>
  <c r="D331" i="16"/>
  <c r="D332" i="16"/>
  <c r="D333" i="16"/>
  <c r="D334" i="16"/>
  <c r="D335" i="16"/>
  <c r="D336" i="16"/>
  <c r="D337" i="16"/>
  <c r="D338" i="16"/>
  <c r="D339" i="16"/>
  <c r="D340" i="16"/>
  <c r="D341" i="16"/>
  <c r="D342" i="16"/>
  <c r="D343" i="16"/>
  <c r="D344" i="16"/>
  <c r="D345" i="16"/>
  <c r="D346" i="16"/>
  <c r="D347" i="16"/>
  <c r="D348" i="16"/>
  <c r="D349" i="16"/>
  <c r="D350" i="16"/>
  <c r="D351" i="16"/>
  <c r="D352" i="16"/>
  <c r="D353" i="16"/>
  <c r="D354" i="16"/>
  <c r="D355" i="16"/>
  <c r="D356" i="16"/>
  <c r="D357" i="16"/>
  <c r="D358" i="16"/>
  <c r="D359" i="16"/>
  <c r="D360" i="16"/>
  <c r="D361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D304" i="16"/>
  <c r="D305" i="16"/>
  <c r="D306" i="16"/>
  <c r="D307" i="16"/>
  <c r="D308" i="16"/>
  <c r="D309" i="16"/>
  <c r="D310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8" i="17"/>
  <c r="B9" i="17"/>
  <c r="B10" i="17"/>
  <c r="B11" i="17"/>
  <c r="B12" i="17"/>
  <c r="B13" i="17"/>
  <c r="B14" i="17"/>
  <c r="B15" i="17"/>
  <c r="B16" i="17"/>
  <c r="B17" i="17"/>
  <c r="B7" i="17"/>
  <c r="B6" i="17"/>
  <c r="D6" i="16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415" i="12"/>
  <c r="D364" i="12"/>
  <c r="D313" i="12"/>
  <c r="D262" i="12"/>
  <c r="D211" i="12"/>
  <c r="D160" i="12"/>
  <c r="D109" i="12"/>
  <c r="D58" i="12"/>
  <c r="D7" i="12"/>
  <c r="D414" i="12"/>
  <c r="D363" i="12"/>
  <c r="D312" i="12"/>
  <c r="D261" i="12"/>
  <c r="D210" i="12"/>
  <c r="D159" i="12"/>
  <c r="D108" i="12"/>
  <c r="D57" i="12"/>
  <c r="D6" i="12"/>
  <c r="D466" i="16"/>
  <c r="D415" i="16"/>
  <c r="D364" i="16"/>
  <c r="D313" i="16"/>
  <c r="D262" i="16"/>
  <c r="D211" i="16"/>
  <c r="D160" i="16"/>
  <c r="D109" i="16"/>
  <c r="D58" i="16"/>
  <c r="D7" i="16"/>
  <c r="D465" i="16"/>
  <c r="D414" i="16"/>
  <c r="D363" i="16"/>
  <c r="D312" i="16"/>
  <c r="D261" i="16"/>
  <c r="D210" i="16"/>
  <c r="D159" i="16"/>
  <c r="D108" i="16"/>
  <c r="D57" i="16"/>
  <c r="H514" i="16"/>
  <c r="H513" i="16"/>
  <c r="H512" i="16"/>
  <c r="H511" i="16"/>
  <c r="H510" i="16"/>
  <c r="H509" i="16"/>
  <c r="H508" i="16"/>
  <c r="H507" i="16"/>
  <c r="H506" i="16"/>
  <c r="H505" i="16"/>
  <c r="H504" i="16"/>
  <c r="H503" i="16"/>
  <c r="H502" i="16"/>
  <c r="H501" i="16"/>
  <c r="H500" i="16"/>
  <c r="H499" i="16"/>
  <c r="H498" i="16"/>
  <c r="H497" i="16"/>
  <c r="H496" i="16"/>
  <c r="H495" i="16"/>
  <c r="H494" i="16"/>
  <c r="H493" i="16"/>
  <c r="H492" i="16"/>
  <c r="H491" i="16"/>
  <c r="H490" i="16"/>
  <c r="H489" i="16"/>
  <c r="H488" i="16"/>
  <c r="H487" i="16"/>
  <c r="H486" i="16"/>
  <c r="H485" i="16"/>
  <c r="H484" i="16"/>
  <c r="H483" i="16"/>
  <c r="H482" i="16"/>
  <c r="H481" i="16"/>
  <c r="H480" i="16"/>
  <c r="H479" i="16"/>
  <c r="H478" i="16"/>
  <c r="H477" i="16"/>
  <c r="H476" i="16"/>
  <c r="H475" i="16"/>
  <c r="H474" i="16"/>
  <c r="H473" i="16"/>
  <c r="H472" i="16"/>
  <c r="H471" i="16"/>
  <c r="H470" i="16"/>
  <c r="H469" i="16"/>
  <c r="H468" i="16"/>
  <c r="H467" i="16"/>
  <c r="H466" i="16"/>
  <c r="H465" i="16"/>
  <c r="H463" i="16"/>
  <c r="H462" i="16"/>
  <c r="H461" i="16"/>
  <c r="H460" i="16"/>
  <c r="H459" i="16"/>
  <c r="H458" i="16"/>
  <c r="H457" i="16"/>
  <c r="H456" i="16"/>
  <c r="H455" i="16"/>
  <c r="H454" i="16"/>
  <c r="H453" i="16"/>
  <c r="H452" i="16"/>
  <c r="H451" i="16"/>
  <c r="H450" i="16"/>
  <c r="H449" i="16"/>
  <c r="H448" i="16"/>
  <c r="H447" i="16"/>
  <c r="H446" i="16"/>
  <c r="H445" i="16"/>
  <c r="H444" i="16"/>
  <c r="H443" i="16"/>
  <c r="H442" i="16"/>
  <c r="H441" i="16"/>
  <c r="H440" i="16"/>
  <c r="H439" i="16"/>
  <c r="H438" i="16"/>
  <c r="H437" i="16"/>
  <c r="H436" i="16"/>
  <c r="H435" i="16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H301" i="16"/>
  <c r="H302" i="16"/>
  <c r="H303" i="16"/>
  <c r="H304" i="16"/>
  <c r="H305" i="16"/>
  <c r="H306" i="16"/>
  <c r="H307" i="16"/>
  <c r="H308" i="16"/>
  <c r="H309" i="16"/>
  <c r="H310" i="16"/>
  <c r="H261" i="16"/>
  <c r="F216" i="12"/>
  <c r="E208" i="15" l="1"/>
  <c r="F208" i="15" s="1"/>
  <c r="E207" i="15"/>
  <c r="F207" i="15" s="1"/>
  <c r="E206" i="15"/>
  <c r="F206" i="15" s="1"/>
  <c r="E205" i="15"/>
  <c r="F205" i="15" s="1"/>
  <c r="E204" i="15"/>
  <c r="F204" i="15" s="1"/>
  <c r="E203" i="15"/>
  <c r="F203" i="15" s="1"/>
  <c r="E202" i="15"/>
  <c r="F202" i="15" s="1"/>
  <c r="E201" i="15"/>
  <c r="F201" i="15" s="1"/>
  <c r="E200" i="15"/>
  <c r="F200" i="15" s="1"/>
  <c r="E199" i="15"/>
  <c r="F199" i="15" s="1"/>
  <c r="E198" i="15"/>
  <c r="F198" i="15" s="1"/>
  <c r="E197" i="15"/>
  <c r="F197" i="15" s="1"/>
  <c r="E196" i="15"/>
  <c r="F196" i="15" s="1"/>
  <c r="E195" i="15"/>
  <c r="F195" i="15" s="1"/>
  <c r="E194" i="15"/>
  <c r="F194" i="15" s="1"/>
  <c r="E193" i="15"/>
  <c r="F193" i="15" s="1"/>
  <c r="E192" i="15"/>
  <c r="F192" i="15" s="1"/>
  <c r="E191" i="15"/>
  <c r="F191" i="15" s="1"/>
  <c r="E190" i="15"/>
  <c r="F190" i="15" s="1"/>
  <c r="E189" i="15"/>
  <c r="F189" i="15" s="1"/>
  <c r="E188" i="15"/>
  <c r="F188" i="15" s="1"/>
  <c r="F144" i="15"/>
  <c r="F152" i="15"/>
  <c r="E137" i="15"/>
  <c r="F137" i="15" s="1"/>
  <c r="E138" i="15"/>
  <c r="F138" i="15" s="1"/>
  <c r="E139" i="15"/>
  <c r="F139" i="15" s="1"/>
  <c r="E140" i="15"/>
  <c r="F140" i="15" s="1"/>
  <c r="E141" i="15"/>
  <c r="F141" i="15" s="1"/>
  <c r="E142" i="15"/>
  <c r="F142" i="15" s="1"/>
  <c r="E143" i="15"/>
  <c r="F143" i="15" s="1"/>
  <c r="E144" i="15"/>
  <c r="E145" i="15"/>
  <c r="F145" i="15" s="1"/>
  <c r="E146" i="15"/>
  <c r="F146" i="15" s="1"/>
  <c r="E147" i="15"/>
  <c r="F147" i="15" s="1"/>
  <c r="E148" i="15"/>
  <c r="F148" i="15" s="1"/>
  <c r="E149" i="15"/>
  <c r="F149" i="15" s="1"/>
  <c r="E150" i="15"/>
  <c r="F150" i="15" s="1"/>
  <c r="E151" i="15"/>
  <c r="F151" i="15" s="1"/>
  <c r="E152" i="15"/>
  <c r="E153" i="15"/>
  <c r="F153" i="15" s="1"/>
  <c r="E154" i="15"/>
  <c r="F154" i="15" s="1"/>
  <c r="E155" i="15"/>
  <c r="F155" i="15" s="1"/>
  <c r="E156" i="15"/>
  <c r="F156" i="15" s="1"/>
  <c r="E157" i="15"/>
  <c r="F157" i="15" s="1"/>
  <c r="F210" i="12"/>
  <c r="D110" i="15" l="1"/>
  <c r="E110" i="15" s="1"/>
  <c r="F110" i="15" s="1"/>
  <c r="D111" i="15"/>
  <c r="E111" i="15" s="1"/>
  <c r="F111" i="15" s="1"/>
  <c r="D112" i="15"/>
  <c r="E112" i="15" s="1"/>
  <c r="F112" i="15" s="1"/>
  <c r="D113" i="15"/>
  <c r="E113" i="15" s="1"/>
  <c r="F113" i="15" s="1"/>
  <c r="D114" i="15"/>
  <c r="E114" i="15" s="1"/>
  <c r="F114" i="15" s="1"/>
  <c r="D115" i="15"/>
  <c r="E115" i="15" s="1"/>
  <c r="F115" i="15" s="1"/>
  <c r="D116" i="15"/>
  <c r="E116" i="15" s="1"/>
  <c r="F116" i="15" s="1"/>
  <c r="D117" i="15"/>
  <c r="E117" i="15" s="1"/>
  <c r="F117" i="15" s="1"/>
  <c r="D118" i="15"/>
  <c r="E118" i="15" s="1"/>
  <c r="F118" i="15" s="1"/>
  <c r="D119" i="15"/>
  <c r="E119" i="15" s="1"/>
  <c r="F119" i="15" s="1"/>
  <c r="D120" i="15"/>
  <c r="E120" i="15" s="1"/>
  <c r="F120" i="15" s="1"/>
  <c r="D121" i="15"/>
  <c r="E121" i="15" s="1"/>
  <c r="F121" i="15" s="1"/>
  <c r="D122" i="15"/>
  <c r="E122" i="15" s="1"/>
  <c r="F122" i="15" s="1"/>
  <c r="D123" i="15"/>
  <c r="E123" i="15" s="1"/>
  <c r="F123" i="15" s="1"/>
  <c r="D124" i="15"/>
  <c r="E124" i="15" s="1"/>
  <c r="F124" i="15" s="1"/>
  <c r="D125" i="15"/>
  <c r="E125" i="15" s="1"/>
  <c r="F125" i="15" s="1"/>
  <c r="D126" i="15"/>
  <c r="E126" i="15" s="1"/>
  <c r="F126" i="15" s="1"/>
  <c r="D127" i="15"/>
  <c r="E127" i="15" s="1"/>
  <c r="F127" i="15" s="1"/>
  <c r="D128" i="15"/>
  <c r="E128" i="15" s="1"/>
  <c r="F128" i="15" s="1"/>
  <c r="D129" i="15"/>
  <c r="E129" i="15" s="1"/>
  <c r="F129" i="15" s="1"/>
  <c r="D130" i="15"/>
  <c r="E130" i="15" s="1"/>
  <c r="F130" i="15" s="1"/>
  <c r="D131" i="15"/>
  <c r="E131" i="15" s="1"/>
  <c r="F131" i="15" s="1"/>
  <c r="D132" i="15"/>
  <c r="E132" i="15" s="1"/>
  <c r="F132" i="15" s="1"/>
  <c r="D133" i="15"/>
  <c r="E133" i="15" s="1"/>
  <c r="F133" i="15" s="1"/>
  <c r="D134" i="15"/>
  <c r="E134" i="15" s="1"/>
  <c r="F134" i="15" s="1"/>
  <c r="D135" i="15"/>
  <c r="E135" i="15" s="1"/>
  <c r="F135" i="15" s="1"/>
  <c r="D136" i="15"/>
  <c r="E136" i="15" s="1"/>
  <c r="F136" i="15" s="1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61" i="15"/>
  <c r="E161" i="15" s="1"/>
  <c r="F161" i="15" s="1"/>
  <c r="D162" i="15"/>
  <c r="E162" i="15" s="1"/>
  <c r="F162" i="15" s="1"/>
  <c r="D163" i="15"/>
  <c r="E163" i="15" s="1"/>
  <c r="F163" i="15" s="1"/>
  <c r="D164" i="15"/>
  <c r="E164" i="15" s="1"/>
  <c r="F164" i="15" s="1"/>
  <c r="D165" i="15"/>
  <c r="E165" i="15" s="1"/>
  <c r="F165" i="15" s="1"/>
  <c r="D166" i="15"/>
  <c r="E166" i="15" s="1"/>
  <c r="F166" i="15" s="1"/>
  <c r="D167" i="15"/>
  <c r="E167" i="15" s="1"/>
  <c r="F167" i="15" s="1"/>
  <c r="D168" i="15"/>
  <c r="E168" i="15" s="1"/>
  <c r="F168" i="15" s="1"/>
  <c r="D169" i="15"/>
  <c r="E169" i="15" s="1"/>
  <c r="F169" i="15" s="1"/>
  <c r="D170" i="15"/>
  <c r="E170" i="15" s="1"/>
  <c r="F170" i="15" s="1"/>
  <c r="D171" i="15"/>
  <c r="E171" i="15" s="1"/>
  <c r="F171" i="15" s="1"/>
  <c r="D172" i="15"/>
  <c r="E172" i="15" s="1"/>
  <c r="F172" i="15" s="1"/>
  <c r="D173" i="15"/>
  <c r="E173" i="15" s="1"/>
  <c r="F173" i="15" s="1"/>
  <c r="D174" i="15"/>
  <c r="E174" i="15" s="1"/>
  <c r="F174" i="15" s="1"/>
  <c r="D175" i="15"/>
  <c r="E175" i="15" s="1"/>
  <c r="F175" i="15" s="1"/>
  <c r="D176" i="15"/>
  <c r="E176" i="15" s="1"/>
  <c r="F176" i="15" s="1"/>
  <c r="D177" i="15"/>
  <c r="E177" i="15" s="1"/>
  <c r="F177" i="15" s="1"/>
  <c r="D178" i="15"/>
  <c r="E178" i="15" s="1"/>
  <c r="F178" i="15" s="1"/>
  <c r="D179" i="15"/>
  <c r="E179" i="15" s="1"/>
  <c r="F179" i="15" s="1"/>
  <c r="D180" i="15"/>
  <c r="E180" i="15" s="1"/>
  <c r="F180" i="15" s="1"/>
  <c r="D181" i="15"/>
  <c r="E181" i="15" s="1"/>
  <c r="F181" i="15" s="1"/>
  <c r="D182" i="15"/>
  <c r="E182" i="15" s="1"/>
  <c r="F182" i="15" s="1"/>
  <c r="D183" i="15"/>
  <c r="E183" i="15" s="1"/>
  <c r="F183" i="15" s="1"/>
  <c r="D184" i="15"/>
  <c r="E184" i="15" s="1"/>
  <c r="F184" i="15" s="1"/>
  <c r="D185" i="15"/>
  <c r="E185" i="15" s="1"/>
  <c r="F185" i="15" s="1"/>
  <c r="D186" i="15"/>
  <c r="E186" i="15" s="1"/>
  <c r="F186" i="15" s="1"/>
  <c r="D187" i="15"/>
  <c r="E187" i="15" s="1"/>
  <c r="F187" i="15" s="1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160" i="15"/>
  <c r="E160" i="15" s="1"/>
  <c r="F160" i="15" s="1"/>
  <c r="D109" i="15"/>
  <c r="E109" i="15" s="1"/>
  <c r="F109" i="15" s="1"/>
  <c r="D58" i="15"/>
  <c r="D159" i="15"/>
  <c r="E159" i="15" s="1"/>
  <c r="F159" i="15" s="1"/>
  <c r="D108" i="15"/>
  <c r="E108" i="15" s="1"/>
  <c r="F108" i="15" s="1"/>
  <c r="D6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7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F463" i="12"/>
  <c r="F462" i="12"/>
  <c r="F461" i="12"/>
  <c r="F460" i="12"/>
  <c r="F459" i="12"/>
  <c r="F458" i="12"/>
  <c r="F457" i="12"/>
  <c r="F456" i="12"/>
  <c r="F455" i="12"/>
  <c r="F454" i="12"/>
  <c r="F453" i="12"/>
  <c r="F452" i="12"/>
  <c r="F451" i="12"/>
  <c r="F450" i="12"/>
  <c r="F449" i="12"/>
  <c r="F448" i="12"/>
  <c r="F447" i="12"/>
  <c r="F446" i="12"/>
  <c r="F445" i="12"/>
  <c r="F444" i="12"/>
  <c r="F443" i="12"/>
  <c r="F442" i="12"/>
  <c r="F441" i="12"/>
  <c r="F440" i="12"/>
  <c r="F439" i="12"/>
  <c r="F438" i="12"/>
  <c r="F437" i="12"/>
  <c r="F436" i="12"/>
  <c r="F435" i="12"/>
  <c r="F434" i="12"/>
  <c r="F433" i="12"/>
  <c r="F432" i="12"/>
  <c r="F431" i="12"/>
  <c r="F430" i="12"/>
  <c r="F429" i="12"/>
  <c r="F428" i="12"/>
  <c r="F427" i="12"/>
  <c r="F426" i="12"/>
  <c r="F425" i="12"/>
  <c r="F424" i="12"/>
  <c r="F423" i="12"/>
  <c r="F422" i="12"/>
  <c r="F421" i="12"/>
  <c r="F420" i="12"/>
  <c r="F419" i="12"/>
  <c r="F418" i="12"/>
  <c r="F417" i="12"/>
  <c r="F416" i="12"/>
  <c r="F415" i="12"/>
  <c r="F414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363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12" i="12"/>
  <c r="F259" i="12"/>
  <c r="F258" i="12"/>
  <c r="F257" i="12"/>
  <c r="F256" i="12"/>
  <c r="F255" i="12"/>
  <c r="F254" i="12"/>
  <c r="F253" i="12"/>
  <c r="F252" i="12"/>
  <c r="F251" i="12"/>
  <c r="F250" i="12"/>
  <c r="F249" i="12"/>
  <c r="F248" i="12"/>
  <c r="F247" i="12"/>
  <c r="F246" i="12"/>
  <c r="F245" i="12"/>
  <c r="F244" i="12"/>
  <c r="F243" i="12"/>
  <c r="F242" i="12"/>
  <c r="F241" i="12"/>
  <c r="F240" i="12"/>
  <c r="F239" i="12"/>
  <c r="F238" i="12"/>
  <c r="F237" i="12"/>
  <c r="F236" i="12"/>
  <c r="F235" i="12"/>
  <c r="F234" i="12"/>
  <c r="F233" i="12"/>
  <c r="F232" i="12"/>
  <c r="F231" i="12"/>
  <c r="F230" i="12"/>
  <c r="F229" i="12"/>
  <c r="F228" i="12"/>
  <c r="F227" i="12"/>
  <c r="F226" i="12"/>
  <c r="F225" i="12"/>
  <c r="F224" i="12"/>
  <c r="F223" i="12"/>
  <c r="F222" i="12"/>
  <c r="F221" i="12"/>
  <c r="F220" i="12"/>
  <c r="F219" i="12"/>
  <c r="F218" i="12"/>
  <c r="F217" i="12"/>
  <c r="F215" i="12"/>
  <c r="F214" i="12"/>
  <c r="F213" i="12"/>
  <c r="F212" i="12"/>
  <c r="F211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159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60" i="8"/>
  <c r="D109" i="8"/>
  <c r="D58" i="8"/>
  <c r="D7" i="8"/>
  <c r="D159" i="8"/>
  <c r="D108" i="8"/>
  <c r="D57" i="8"/>
  <c r="D6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</calcChain>
</file>

<file path=xl/sharedStrings.xml><?xml version="1.0" encoding="utf-8"?>
<sst xmlns="http://schemas.openxmlformats.org/spreadsheetml/2006/main" count="4471" uniqueCount="212">
  <si>
    <t>Name</t>
  </si>
  <si>
    <t>Description</t>
  </si>
  <si>
    <t>Technology</t>
  </si>
  <si>
    <t>Classification</t>
  </si>
  <si>
    <t>Annual GDP</t>
  </si>
  <si>
    <t>Net Zero</t>
  </si>
  <si>
    <t>BESS_TECH</t>
  </si>
  <si>
    <t>Battery</t>
  </si>
  <si>
    <t>Biomass</t>
  </si>
  <si>
    <t>Generation Renewable</t>
  </si>
  <si>
    <t>PWRBIO</t>
  </si>
  <si>
    <t>Geothermal</t>
  </si>
  <si>
    <t>PWRDIST</t>
  </si>
  <si>
    <t>Distribution</t>
  </si>
  <si>
    <t>Solar PV</t>
  </si>
  <si>
    <t>PWRGEO</t>
  </si>
  <si>
    <t>Hydropower</t>
  </si>
  <si>
    <t>PWRHYD</t>
  </si>
  <si>
    <t>Nuclear</t>
  </si>
  <si>
    <t>PWRNGS</t>
  </si>
  <si>
    <t>Natural Gas</t>
  </si>
  <si>
    <t>Gas</t>
  </si>
  <si>
    <t>Wind</t>
  </si>
  <si>
    <t>PWRPHS</t>
  </si>
  <si>
    <t>Pumped Hydro with Storage</t>
  </si>
  <si>
    <t>Oil</t>
  </si>
  <si>
    <t>Generation Fossil-Fuel</t>
  </si>
  <si>
    <t>PWRSOL</t>
  </si>
  <si>
    <t>PWRTRN</t>
  </si>
  <si>
    <t>Transmission</t>
  </si>
  <si>
    <t>Transmission Infrastructure</t>
  </si>
  <si>
    <t>PWRWND</t>
  </si>
  <si>
    <t>Onshore Wind</t>
  </si>
  <si>
    <t>Distribution Infrastructure</t>
  </si>
  <si>
    <t>PWRHFO</t>
  </si>
  <si>
    <t>Imports</t>
  </si>
  <si>
    <t>PWRIMP</t>
  </si>
  <si>
    <t>PWRURN</t>
  </si>
  <si>
    <t>Capital Cost</t>
  </si>
  <si>
    <t>PWRLFO</t>
  </si>
  <si>
    <t>PWRHYD16</t>
  </si>
  <si>
    <t>Direct Hydro</t>
  </si>
  <si>
    <t>Code</t>
  </si>
  <si>
    <t>Currency</t>
  </si>
  <si>
    <t>Comm_Intl</t>
  </si>
  <si>
    <t>Comm_Dom</t>
  </si>
  <si>
    <t>Volume of Finance</t>
  </si>
  <si>
    <t>Conc_IFI</t>
  </si>
  <si>
    <t>Year</t>
  </si>
  <si>
    <t>Conc_DPS</t>
  </si>
  <si>
    <t>Foreign Currency</t>
  </si>
  <si>
    <t>USD</t>
  </si>
  <si>
    <t>Local Currency</t>
  </si>
  <si>
    <t>KES</t>
  </si>
  <si>
    <t>CNY</t>
  </si>
  <si>
    <t>EUR</t>
  </si>
  <si>
    <t>JPY</t>
  </si>
  <si>
    <t>OT4</t>
  </si>
  <si>
    <t>OT5</t>
  </si>
  <si>
    <t>Discount Rate</t>
  </si>
  <si>
    <t>OT6</t>
  </si>
  <si>
    <t>OT7</t>
  </si>
  <si>
    <t>OT8</t>
  </si>
  <si>
    <t>Financing Source</t>
  </si>
  <si>
    <t>Grace period</t>
  </si>
  <si>
    <t>Rate</t>
  </si>
  <si>
    <t>Schedule</t>
  </si>
  <si>
    <t>Term</t>
  </si>
  <si>
    <t>Type of Finance</t>
  </si>
  <si>
    <t>Residential</t>
  </si>
  <si>
    <t>Commercial</t>
  </si>
  <si>
    <t>Industrial</t>
  </si>
  <si>
    <t>Variable</t>
  </si>
  <si>
    <t>Scenario</t>
  </si>
  <si>
    <t>Equity</t>
  </si>
  <si>
    <t>EPP with Grace Years for Principal</t>
  </si>
  <si>
    <t>Loan</t>
  </si>
  <si>
    <t>Equal Principal Payments (EPP)</t>
  </si>
  <si>
    <t>Lump Sum Principal</t>
  </si>
  <si>
    <t>Data Input File</t>
  </si>
  <si>
    <t>Country / Case</t>
  </si>
  <si>
    <t>Prepared by</t>
  </si>
  <si>
    <t>Date</t>
  </si>
  <si>
    <t>Model version</t>
  </si>
  <si>
    <t>Notes</t>
  </si>
  <si>
    <t>→  MACROECONOMIC</t>
  </si>
  <si>
    <t>Inflation, FX, GDP growth, population</t>
  </si>
  <si>
    <t>Interest rates, fees, amortisation</t>
  </si>
  <si>
    <t>Colour conventions</t>
  </si>
  <si>
    <t>Blue text</t>
  </si>
  <si>
    <t>Model Information</t>
  </si>
  <si>
    <t>v2.0.0</t>
  </si>
  <si>
    <t>Hardcoded inputs - values you edit</t>
  </si>
  <si>
    <t>MACROECONOMIC PARAMETERS</t>
  </si>
  <si>
    <t>← Return to COVER</t>
  </si>
  <si>
    <t>Parameter</t>
  </si>
  <si>
    <t>Unit</t>
  </si>
  <si>
    <t>% p.a.</t>
  </si>
  <si>
    <t>%</t>
  </si>
  <si>
    <t>MW</t>
  </si>
  <si>
    <t>Mn USD</t>
  </si>
  <si>
    <t>2. Macroeconomic Aggregates</t>
  </si>
  <si>
    <t>1. Exchange Rates</t>
  </si>
  <si>
    <t>LCU/USD</t>
  </si>
  <si>
    <t>Time Independent</t>
  </si>
  <si>
    <t>3. Discount Rates</t>
  </si>
  <si>
    <t>Emissions</t>
  </si>
  <si>
    <t>PotentialGeneration</t>
  </si>
  <si>
    <t>OPEX</t>
  </si>
  <si>
    <t>ActualGeneration</t>
  </si>
  <si>
    <t>1. Capital Cost</t>
  </si>
  <si>
    <t>Display Currency</t>
  </si>
  <si>
    <t>Kenya</t>
  </si>
  <si>
    <t>Hannah Luscombe</t>
  </si>
  <si>
    <t>MINFin - Model for Informed National Financing</t>
  </si>
  <si>
    <t>EXISTING FINANCING REQUIREMENT</t>
  </si>
  <si>
    <t>2. Actual Generation</t>
  </si>
  <si>
    <t>3. OPEX</t>
  </si>
  <si>
    <t>4. Potential Generation</t>
  </si>
  <si>
    <t>5. Emissions</t>
  </si>
  <si>
    <t>PJ</t>
  </si>
  <si>
    <t>MtCO₂</t>
  </si>
  <si>
    <t>1. Financing Technologies</t>
  </si>
  <si>
    <t>2. Investment Plan Technologies</t>
  </si>
  <si>
    <t>INVESTMENT PLAN - CAPITAL COST, GENERATION, OPEX &amp; EMISSIONS</t>
  </si>
  <si>
    <t>Funding</t>
  </si>
  <si>
    <t>1. Grant Volume</t>
  </si>
  <si>
    <t>Grants</t>
  </si>
  <si>
    <t>PPA Contracted Generation</t>
  </si>
  <si>
    <t>GWh/Year</t>
  </si>
  <si>
    <t>Standard Off-taker Share</t>
  </si>
  <si>
    <t>Direct Off-taker Share</t>
  </si>
  <si>
    <t>Standard Off-taker Tariff</t>
  </si>
  <si>
    <t>5. Direct Off-taker Tariff</t>
  </si>
  <si>
    <t>Direct Off-taker Tariff</t>
  </si>
  <si>
    <t>PPA Contracted Capacity</t>
  </si>
  <si>
    <t>PPA Capacity Fee</t>
  </si>
  <si>
    <t>PPA Penalty Tariff</t>
  </si>
  <si>
    <t>Redispatch Compensation Price</t>
  </si>
  <si>
    <t>2. Corporate Tax Rate</t>
  </si>
  <si>
    <t>Corporate Tax Rate</t>
  </si>
  <si>
    <t>3. Receivables</t>
  </si>
  <si>
    <t>Receivables</t>
  </si>
  <si>
    <t>4. Liabilities</t>
  </si>
  <si>
    <t>Liabilities</t>
  </si>
  <si>
    <t>1. PPA Contracted Generation</t>
  </si>
  <si>
    <t>2. Standard Off-taker Share</t>
  </si>
  <si>
    <t>3. Direct Off-taker Share</t>
  </si>
  <si>
    <t>4. Standard Off-taker Tariff</t>
  </si>
  <si>
    <t>6. PPA Contracted Capacity</t>
  </si>
  <si>
    <t>7. PPA Capacity Fee</t>
  </si>
  <si>
    <t>8. PPA Penalty Tariff</t>
  </si>
  <si>
    <t>9. Redispatch Compensation Price</t>
  </si>
  <si>
    <t>Off-taker</t>
  </si>
  <si>
    <t>1. Share of Off-take</t>
  </si>
  <si>
    <t>Share of Off-take</t>
  </si>
  <si>
    <t>Direct</t>
  </si>
  <si>
    <t>2. Share of Off-take</t>
  </si>
  <si>
    <t>3. Share of Off-take</t>
  </si>
  <si>
    <t>4. Share of Off-take</t>
  </si>
  <si>
    <t>5. Share of Off-take</t>
  </si>
  <si>
    <t>Wholesale Price</t>
  </si>
  <si>
    <t>6. Wholesale Price</t>
  </si>
  <si>
    <t>7. Wholesale Price</t>
  </si>
  <si>
    <t>8. Wholesale Price</t>
  </si>
  <si>
    <t>9. Wholesale Price</t>
  </si>
  <si>
    <t>10. Wholesale Price</t>
  </si>
  <si>
    <t>Technologies</t>
  </si>
  <si>
    <t>Debt</t>
  </si>
  <si>
    <t>Financing Shares</t>
  </si>
  <si>
    <t>Foreign Currency Shares</t>
  </si>
  <si>
    <t>Interest Rate</t>
  </si>
  <si>
    <t>Grace Period</t>
  </si>
  <si>
    <t>Loan Term</t>
  </si>
  <si>
    <t>Rate of Return</t>
  </si>
  <si>
    <t>Project Life</t>
  </si>
  <si>
    <t>Debt Share</t>
  </si>
  <si>
    <t>Equity Share</t>
  </si>
  <si>
    <t>Share of Finance</t>
  </si>
  <si>
    <t>FINANCING PARAMETERS - COST OF CAPITAL &amp; INSTRUMENT STRUCTURE</t>
  </si>
  <si>
    <t>TECHNOLOGY REGISTER</t>
  </si>
  <si>
    <t>WHOLESALE REVENUE</t>
  </si>
  <si>
    <t>PPA REVENUE</t>
  </si>
  <si>
    <t>6. Emissions Savings</t>
  </si>
  <si>
    <t>Emissions Savings</t>
  </si>
  <si>
    <t>7. Carbon Price</t>
  </si>
  <si>
    <t>Carbon Price</t>
  </si>
  <si>
    <t>$/TonCO₂</t>
  </si>
  <si>
    <t>→  PPA REVENUE</t>
  </si>
  <si>
    <t>→  WHOLESALE REVENUE</t>
  </si>
  <si>
    <t>→  OTHER REVENUE</t>
  </si>
  <si>
    <t>→  NEW INFRASTRUCTURE</t>
  </si>
  <si>
    <t>→  EXISTING INFRASTRUCTURE</t>
  </si>
  <si>
    <t>→  INVESTMENT PLAN</t>
  </si>
  <si>
    <t>→  TECHNOLOGY REGISTER</t>
  </si>
  <si>
    <t>Grants, receivables, redispatch compensation</t>
  </si>
  <si>
    <t>Market-based generation revenue by off-taker</t>
  </si>
  <si>
    <t>Contracted generation and PPA cashflow inflows</t>
  </si>
  <si>
    <t>Existing financing records</t>
  </si>
  <si>
    <t>Worksheet navigator - click to go to sheet</t>
  </si>
  <si>
    <t>Capital cost, generation, OPEX &amp; emissions by scenario</t>
  </si>
  <si>
    <t>Technology codes, classifications, descriptions</t>
  </si>
  <si>
    <t>4. Annual Loan Repayments</t>
  </si>
  <si>
    <t>Annual Loan Repayments</t>
  </si>
  <si>
    <t>5. Current Year</t>
  </si>
  <si>
    <t>Current Year</t>
  </si>
  <si>
    <t>CSP</t>
  </si>
  <si>
    <t>Coal</t>
  </si>
  <si>
    <t>Energy Exports</t>
  </si>
  <si>
    <t>Direct Solar</t>
  </si>
  <si>
    <t>Direct Oil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</si>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</sst>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_);_([$$-409]* \(#,##0\);_([$$-409]* &quot;-&quot;??_);_(@_)"/>
  </numFmts>
  <fonts count="2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rgb="FFFFFFFF"/>
      <name val="Arial"/>
      <family val="2"/>
    </font>
    <font>
      <sz val="12"/>
      <color rgb="FFBDD7EE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70C0"/>
      <name val="Arial"/>
      <family val="2"/>
    </font>
    <font>
      <sz val="9"/>
      <color rgb="FF595959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u/>
      <sz val="9"/>
      <color rgb="FF2E74B5"/>
      <name val="Arial"/>
      <family val="2"/>
    </font>
    <font>
      <b/>
      <sz val="9"/>
      <color rgb="FF1F3864"/>
      <name val="Arial"/>
      <family val="2"/>
    </font>
    <font>
      <b/>
      <sz val="10"/>
      <color rgb="FF1F3864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i/>
      <sz val="8"/>
      <color rgb="FF595959"/>
      <name val="Arial"/>
      <family val="2"/>
    </font>
    <font>
      <sz val="9"/>
      <color rgb="FF0070C0"/>
      <name val="Arial"/>
      <family val="2"/>
    </font>
    <font>
      <sz val="10"/>
      <color rgb="FF595959"/>
      <name val="Arial"/>
      <family val="2"/>
    </font>
    <font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9"/>
      <color rgb="FFFFFFFF"/>
      <name val="Arial"/>
      <family val="2"/>
    </font>
    <font>
      <b/>
      <sz val="11"/>
      <color rgb="FF0070C0"/>
      <name val="Arial"/>
      <family val="2"/>
    </font>
    <font>
      <sz val="11"/>
      <color rgb="FF0070C0"/>
      <name val="Aptos Narrow"/>
      <family val="2"/>
      <scheme val="minor"/>
    </font>
    <font>
      <sz val="12"/>
      <color rgb="FF0070C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4B5"/>
        <bgColor rgb="FF0070C0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001F60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EBF4FB"/>
        <bgColor indexed="64"/>
      </patternFill>
    </fill>
    <fill>
      <patternFill patternType="solid">
        <fgColor rgb="FF2E74B5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EEF4FB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1F376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1E60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/>
      <right/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medium">
        <color rgb="FF1F3864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4">
    <xf numFmtId="0" fontId="0" fillId="0" borderId="0"/>
    <xf numFmtId="0" fontId="10" fillId="0" borderId="0"/>
    <xf numFmtId="0" fontId="16" fillId="0" borderId="0"/>
    <xf numFmtId="0" fontId="21" fillId="0" borderId="0" applyNumberFormat="0" applyFill="0" applyBorder="0" applyAlignment="0" applyProtection="0"/>
  </cellStyleXfs>
  <cellXfs count="90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0" fillId="0" borderId="0" xfId="1"/>
    <xf numFmtId="0" fontId="12" fillId="0" borderId="0" xfId="1" applyFont="1" applyAlignment="1">
      <alignment horizontal="left" vertical="center"/>
    </xf>
    <xf numFmtId="0" fontId="13" fillId="7" borderId="2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left" vertical="center"/>
    </xf>
    <xf numFmtId="0" fontId="14" fillId="7" borderId="2" xfId="0" applyFont="1" applyFill="1" applyBorder="1" applyAlignment="1">
      <alignment horizontal="center" vertical="center" wrapText="1"/>
    </xf>
    <xf numFmtId="1" fontId="14" fillId="7" borderId="2" xfId="0" applyNumberFormat="1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 wrapText="1"/>
    </xf>
    <xf numFmtId="0" fontId="16" fillId="0" borderId="0" xfId="2"/>
    <xf numFmtId="0" fontId="6" fillId="11" borderId="1" xfId="2" applyFont="1" applyFill="1" applyBorder="1" applyAlignment="1">
      <alignment horizontal="center" vertical="center" wrapText="1"/>
    </xf>
    <xf numFmtId="0" fontId="8" fillId="11" borderId="1" xfId="2" applyFont="1" applyFill="1" applyBorder="1" applyAlignment="1">
      <alignment horizontal="left" vertical="center"/>
    </xf>
    <xf numFmtId="0" fontId="6" fillId="12" borderId="1" xfId="2" applyFont="1" applyFill="1" applyBorder="1" applyAlignment="1">
      <alignment horizontal="center" vertical="center" wrapText="1"/>
    </xf>
    <xf numFmtId="0" fontId="8" fillId="12" borderId="1" xfId="2" applyFont="1" applyFill="1" applyBorder="1" applyAlignment="1">
      <alignment horizontal="left" vertical="center"/>
    </xf>
    <xf numFmtId="1" fontId="13" fillId="13" borderId="2" xfId="2" applyNumberFormat="1" applyFont="1" applyFill="1" applyBorder="1" applyAlignment="1">
      <alignment horizontal="center" vertical="center" wrapText="1"/>
    </xf>
    <xf numFmtId="0" fontId="13" fillId="13" borderId="2" xfId="2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2" fontId="6" fillId="10" borderId="1" xfId="0" applyNumberFormat="1" applyFont="1" applyFill="1" applyBorder="1" applyAlignment="1">
      <alignment horizontal="center" vertical="center" wrapText="1"/>
    </xf>
    <xf numFmtId="1" fontId="6" fillId="10" borderId="1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vertical="center"/>
    </xf>
    <xf numFmtId="0" fontId="17" fillId="0" borderId="0" xfId="2" applyFont="1" applyAlignment="1">
      <alignment horizontal="left" vertical="center"/>
    </xf>
    <xf numFmtId="0" fontId="18" fillId="12" borderId="1" xfId="2" applyFont="1" applyFill="1" applyBorder="1" applyAlignment="1">
      <alignment horizontal="center" vertical="center" wrapText="1"/>
    </xf>
    <xf numFmtId="0" fontId="18" fillId="11" borderId="1" xfId="2" applyFont="1" applyFill="1" applyBorder="1" applyAlignment="1">
      <alignment horizontal="center" vertical="center" wrapText="1"/>
    </xf>
    <xf numFmtId="0" fontId="20" fillId="0" borderId="0" xfId="0" applyFont="1"/>
    <xf numFmtId="0" fontId="1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2" fontId="6" fillId="12" borderId="1" xfId="2" applyNumberFormat="1" applyFont="1" applyFill="1" applyBorder="1" applyAlignment="1">
      <alignment horizontal="center" vertical="center" wrapText="1"/>
    </xf>
    <xf numFmtId="2" fontId="6" fillId="11" borderId="1" xfId="2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12" borderId="1" xfId="2" applyFont="1" applyFill="1" applyBorder="1" applyAlignment="1">
      <alignment horizontal="left" vertical="center" wrapText="1"/>
    </xf>
    <xf numFmtId="0" fontId="15" fillId="11" borderId="1" xfId="2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11" borderId="1" xfId="2" applyFont="1" applyFill="1" applyBorder="1" applyAlignment="1">
      <alignment horizontal="left" vertical="center"/>
    </xf>
    <xf numFmtId="0" fontId="9" fillId="10" borderId="1" xfId="2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21" fillId="0" borderId="0" xfId="3"/>
    <xf numFmtId="0" fontId="21" fillId="0" borderId="0" xfId="3" applyAlignment="1">
      <alignment horizontal="left" vertical="center"/>
    </xf>
    <xf numFmtId="0" fontId="8" fillId="5" borderId="1" xfId="0" applyFont="1" applyFill="1" applyBorder="1" applyAlignment="1">
      <alignment vertical="center"/>
    </xf>
    <xf numFmtId="0" fontId="0" fillId="19" borderId="0" xfId="0" applyFill="1"/>
    <xf numFmtId="0" fontId="0" fillId="0" borderId="7" xfId="0" applyBorder="1"/>
    <xf numFmtId="0" fontId="21" fillId="0" borderId="8" xfId="3" applyBorder="1"/>
    <xf numFmtId="0" fontId="21" fillId="0" borderId="1" xfId="3" applyBorder="1"/>
    <xf numFmtId="2" fontId="6" fillId="11" borderId="1" xfId="0" applyNumberFormat="1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left" vertical="center"/>
    </xf>
    <xf numFmtId="0" fontId="20" fillId="0" borderId="0" xfId="0" applyFont="1"/>
    <xf numFmtId="0" fontId="11" fillId="2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0" xfId="0"/>
    <xf numFmtId="0" fontId="11" fillId="6" borderId="0" xfId="0" applyFont="1" applyFill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/>
    </xf>
    <xf numFmtId="0" fontId="11" fillId="14" borderId="0" xfId="2" applyFont="1" applyFill="1" applyAlignment="1">
      <alignment horizontal="left" vertical="center" wrapText="1"/>
    </xf>
    <xf numFmtId="0" fontId="16" fillId="0" borderId="0" xfId="2" applyAlignment="1">
      <alignment horizontal="left"/>
    </xf>
    <xf numFmtId="0" fontId="22" fillId="17" borderId="0" xfId="2" applyFont="1" applyFill="1" applyAlignment="1">
      <alignment horizontal="center" vertical="center" wrapText="1"/>
    </xf>
    <xf numFmtId="0" fontId="16" fillId="17" borderId="0" xfId="2" applyFill="1" applyAlignment="1">
      <alignment wrapText="1"/>
    </xf>
    <xf numFmtId="0" fontId="22" fillId="16" borderId="0" xfId="2" applyFont="1" applyFill="1" applyAlignment="1">
      <alignment horizontal="center" vertical="center" wrapText="1"/>
    </xf>
    <xf numFmtId="0" fontId="16" fillId="16" borderId="0" xfId="2" applyFill="1" applyAlignment="1">
      <alignment wrapText="1"/>
    </xf>
    <xf numFmtId="0" fontId="4" fillId="14" borderId="0" xfId="2" applyFont="1" applyFill="1" applyAlignment="1">
      <alignment horizontal="center" vertical="center" wrapText="1"/>
    </xf>
    <xf numFmtId="0" fontId="16" fillId="0" borderId="0" xfId="2"/>
    <xf numFmtId="0" fontId="23" fillId="15" borderId="4" xfId="0" applyFont="1" applyFill="1" applyBorder="1" applyAlignment="1">
      <alignment horizontal="center" vertical="center" wrapText="1"/>
    </xf>
    <xf numFmtId="0" fontId="25" fillId="15" borderId="0" xfId="0" applyFont="1" applyFill="1"/>
    <xf numFmtId="0" fontId="23" fillId="18" borderId="0" xfId="2" applyFont="1" applyFill="1" applyAlignment="1">
      <alignment horizontal="center" vertical="center" wrapText="1"/>
    </xf>
    <xf numFmtId="0" fontId="24" fillId="18" borderId="0" xfId="2" applyFont="1" applyFill="1"/>
    <xf numFmtId="0" fontId="23" fillId="16" borderId="0" xfId="2" applyFont="1" applyFill="1" applyAlignment="1">
      <alignment horizontal="center" vertical="center" wrapText="1"/>
    </xf>
    <xf numFmtId="0" fontId="24" fillId="16" borderId="0" xfId="2" applyFont="1" applyFill="1"/>
    <xf numFmtId="0" fontId="23" fillId="17" borderId="0" xfId="2" applyFont="1" applyFill="1" applyAlignment="1">
      <alignment horizontal="center" vertical="center" wrapText="1"/>
    </xf>
    <xf numFmtId="0" fontId="24" fillId="17" borderId="0" xfId="2" applyFont="1" applyFill="1"/>
    <xf numFmtId="0" fontId="22" fillId="15" borderId="0" xfId="2" applyFont="1" applyFill="1" applyAlignment="1">
      <alignment horizontal="center" vertical="center" wrapText="1"/>
    </xf>
    <xf numFmtId="0" fontId="16" fillId="15" borderId="0" xfId="2" applyFill="1" applyAlignment="1">
      <alignment wrapText="1"/>
    </xf>
    <xf numFmtId="0" fontId="22" fillId="18" borderId="0" xfId="2" applyFont="1" applyFill="1" applyAlignment="1">
      <alignment horizontal="center" vertical="center" wrapText="1"/>
    </xf>
    <xf numFmtId="0" fontId="16" fillId="18" borderId="0" xfId="2" applyFill="1" applyAlignment="1">
      <alignment wrapText="1"/>
    </xf>
  </cellXfs>
  <cellStyles count="4">
    <cellStyle name="Hyperlink" xfId="3" builtinId="8"/>
    <cellStyle name="Normal" xfId="0" builtinId="0"/>
    <cellStyle name="Normal 2" xfId="1" xr:uid="{47D093FB-641D-C444-B436-94F2C4AC2FD8}"/>
    <cellStyle name="Normal 3" xfId="2" xr:uid="{BC9B904A-3C34-9B41-8E0A-ED16DCAC7890}"/>
  </cellStyles>
  <dxfs count="0"/>
  <tableStyles count="0" defaultTableStyle="TableStyleMedium2" defaultPivotStyle="PivotStyleLight16"/>
  <colors>
    <mruColors>
      <color rgb="FFBFBFBF"/>
      <color rgb="FF001E60"/>
      <color rgb="FF1F3764"/>
      <color rgb="FFC00000"/>
      <color rgb="FF001F60"/>
      <color rgb="FFEBF4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136328</xdr:colOff>
      <xdr:row>0</xdr:row>
      <xdr:rowOff>171765</xdr:rowOff>
    </xdr:from>
    <xdr:to>
      <xdr:col>5</xdr:col>
      <xdr:colOff>500364</xdr:colOff>
      <xdr:row>2</xdr:row>
      <xdr:rowOff>303509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A329B24-67E3-ED40-8A23-811C6A2F1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4" t="10867" r="16812" b="18078"/>
        <a:stretch>
          <a:fillRect/>
        </a:stretch>
      </xdr:blipFill>
      <xdr:spPr>
        <a:xfrm>
          <a:off x="6278249" y="171765"/>
          <a:ext cx="1024149" cy="1086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283D-5741-274C-BB00-559AB67D4EFF}">
  <sheetPr>
    <tabColor rgb="FF0070C0"/>
  </sheetPr>
  <dimension ref="A1:F42"/>
  <sheetViews>
    <sheetView showGridLines="0" topLeftCell="A8" zoomScale="177" workbookViewId="0">
      <selection activeCell="B18" sqref="B18"/>
    </sheetView>
  </sheetViews>
  <sheetFormatPr defaultColWidth="8.6875" defaultRowHeight="15.75" x14ac:dyDescent="0.5"/>
  <cols>
    <col min="1" max="1" width="3" customWidth="1"/>
    <col min="2" max="2" width="26.3125" bestFit="1" customWidth="1"/>
    <col min="3" max="3" width="40.8125" bestFit="1" customWidth="1"/>
    <col min="4" max="4" width="22" customWidth="1"/>
    <col min="5" max="5" width="8.6875" customWidth="1"/>
  </cols>
  <sheetData>
    <row r="1" spans="1:6" ht="15.75" customHeight="1" x14ac:dyDescent="0.5"/>
    <row r="2" spans="1:6" ht="60" customHeight="1" x14ac:dyDescent="0.5">
      <c r="B2" s="62" t="s">
        <v>114</v>
      </c>
      <c r="C2" s="62"/>
      <c r="D2" s="62"/>
      <c r="E2" s="54"/>
      <c r="F2" s="54"/>
    </row>
    <row r="3" spans="1:6" ht="27.75" customHeight="1" x14ac:dyDescent="0.5">
      <c r="B3" s="63" t="s">
        <v>79</v>
      </c>
      <c r="C3" s="63"/>
      <c r="D3" s="63"/>
      <c r="E3" s="54"/>
      <c r="F3" s="54"/>
    </row>
    <row r="4" spans="1:6" ht="15.75" customHeight="1" x14ac:dyDescent="0.5"/>
    <row r="5" spans="1:6" ht="15.75" customHeight="1" x14ac:dyDescent="0.5">
      <c r="B5" s="66" t="s">
        <v>90</v>
      </c>
      <c r="C5" s="67"/>
    </row>
    <row r="6" spans="1:6" ht="18" customHeight="1" x14ac:dyDescent="0.5">
      <c r="B6" s="1" t="s">
        <v>80</v>
      </c>
      <c r="C6" s="2" t="s">
        <v>112</v>
      </c>
    </row>
    <row r="7" spans="1:6" ht="18" customHeight="1" x14ac:dyDescent="0.5">
      <c r="B7" s="1" t="s">
        <v>81</v>
      </c>
      <c r="C7" s="2" t="s">
        <v>113</v>
      </c>
    </row>
    <row r="8" spans="1:6" ht="18" customHeight="1" x14ac:dyDescent="0.5">
      <c r="B8" s="1" t="s">
        <v>82</v>
      </c>
      <c r="C8" s="22">
        <v>46133</v>
      </c>
    </row>
    <row r="9" spans="1:6" ht="18" customHeight="1" x14ac:dyDescent="0.5">
      <c r="B9" s="1" t="s">
        <v>83</v>
      </c>
      <c r="C9" s="2" t="s">
        <v>91</v>
      </c>
    </row>
    <row r="10" spans="1:6" ht="18" customHeight="1" x14ac:dyDescent="0.5">
      <c r="B10" s="1" t="s">
        <v>84</v>
      </c>
      <c r="C10" s="2"/>
    </row>
    <row r="11" spans="1:6" ht="15.75" customHeight="1" x14ac:dyDescent="0.5"/>
    <row r="12" spans="1:6" ht="21.75" customHeight="1" x14ac:dyDescent="0.5">
      <c r="B12" s="65" t="s">
        <v>199</v>
      </c>
      <c r="C12" s="65"/>
    </row>
    <row r="13" spans="1:6" ht="19.5" customHeight="1" x14ac:dyDescent="0.5">
      <c r="A13" s="55"/>
      <c r="B13" s="51" t="s">
        <v>85</v>
      </c>
      <c r="C13" s="44" t="s">
        <v>86</v>
      </c>
    </row>
    <row r="14" spans="1:6" ht="19.5" customHeight="1" x14ac:dyDescent="0.5">
      <c r="A14" s="55"/>
      <c r="B14" s="57" t="s">
        <v>194</v>
      </c>
      <c r="C14" s="43" t="s">
        <v>201</v>
      </c>
    </row>
    <row r="15" spans="1:6" ht="19.5" customHeight="1" x14ac:dyDescent="0.5">
      <c r="A15" s="55"/>
      <c r="B15" s="57" t="s">
        <v>193</v>
      </c>
      <c r="C15" s="44" t="s">
        <v>200</v>
      </c>
    </row>
    <row r="16" spans="1:6" ht="19.5" customHeight="1" x14ac:dyDescent="0.5">
      <c r="A16" s="55"/>
      <c r="B16" s="56" t="s">
        <v>192</v>
      </c>
      <c r="C16" s="43" t="s">
        <v>198</v>
      </c>
    </row>
    <row r="17" spans="1:3" ht="19.5" customHeight="1" x14ac:dyDescent="0.5">
      <c r="A17" s="55"/>
      <c r="B17" s="57" t="s">
        <v>191</v>
      </c>
      <c r="C17" s="44" t="s">
        <v>87</v>
      </c>
    </row>
    <row r="18" spans="1:3" ht="19.5" customHeight="1" x14ac:dyDescent="0.5">
      <c r="A18" s="55"/>
      <c r="B18" s="57" t="s">
        <v>188</v>
      </c>
      <c r="C18" s="43" t="s">
        <v>197</v>
      </c>
    </row>
    <row r="19" spans="1:3" ht="19.5" customHeight="1" x14ac:dyDescent="0.5">
      <c r="A19" s="55"/>
      <c r="B19" s="56" t="s">
        <v>189</v>
      </c>
      <c r="C19" s="44" t="s">
        <v>196</v>
      </c>
    </row>
    <row r="20" spans="1:3" ht="19.5" customHeight="1" x14ac:dyDescent="0.5">
      <c r="A20" s="55"/>
      <c r="B20" s="57" t="s">
        <v>190</v>
      </c>
      <c r="C20" s="43" t="s">
        <v>195</v>
      </c>
    </row>
    <row r="21" spans="1:3" ht="15.75" customHeight="1" x14ac:dyDescent="0.5"/>
    <row r="22" spans="1:3" ht="15.75" customHeight="1" x14ac:dyDescent="0.5">
      <c r="B22" s="64" t="s">
        <v>88</v>
      </c>
      <c r="C22" s="64"/>
    </row>
    <row r="23" spans="1:3" ht="16.5" customHeight="1" x14ac:dyDescent="0.5">
      <c r="B23" s="2" t="s">
        <v>89</v>
      </c>
      <c r="C23" s="53" t="s">
        <v>92</v>
      </c>
    </row>
    <row r="24" spans="1:3" ht="15.75" customHeight="1" x14ac:dyDescent="0.5"/>
    <row r="25" spans="1:3" ht="15.75" customHeight="1" x14ac:dyDescent="0.5"/>
    <row r="26" spans="1:3" ht="15.75" customHeight="1" x14ac:dyDescent="0.5"/>
    <row r="27" spans="1:3" ht="15.75" customHeight="1" x14ac:dyDescent="0.5"/>
    <row r="28" spans="1:3" ht="15.75" customHeight="1" x14ac:dyDescent="0.5"/>
    <row r="29" spans="1:3" ht="15.75" customHeight="1" x14ac:dyDescent="0.5"/>
    <row r="30" spans="1:3" ht="15.75" customHeight="1" x14ac:dyDescent="0.5"/>
    <row r="31" spans="1:3" ht="15.75" customHeight="1" x14ac:dyDescent="0.5"/>
    <row r="32" spans="1:3" ht="15.75" customHeight="1" x14ac:dyDescent="0.5"/>
    <row r="33" ht="15.75" customHeight="1" x14ac:dyDescent="0.5"/>
    <row r="34" ht="15.75" customHeight="1" x14ac:dyDescent="0.5"/>
    <row r="35" ht="15.75" customHeight="1" x14ac:dyDescent="0.5"/>
    <row r="36" ht="15.75" customHeight="1" x14ac:dyDescent="0.5"/>
    <row r="37" ht="15.75" customHeight="1" x14ac:dyDescent="0.5"/>
    <row r="38" ht="15.75" customHeight="1" x14ac:dyDescent="0.5"/>
    <row r="39" ht="15.75" customHeight="1" x14ac:dyDescent="0.5"/>
    <row r="40" ht="15.75" customHeight="1" x14ac:dyDescent="0.5"/>
    <row r="41" ht="15.75" customHeight="1" x14ac:dyDescent="0.5"/>
    <row r="42" ht="15.75" customHeight="1" x14ac:dyDescent="0.5"/>
  </sheetData>
  <mergeCells count="5">
    <mergeCell ref="B2:D2"/>
    <mergeCell ref="B3:D3"/>
    <mergeCell ref="B22:C22"/>
    <mergeCell ref="B12:C12"/>
    <mergeCell ref="B5:C5"/>
  </mergeCells>
  <hyperlinks>
    <hyperlink ref="B13" location="MACROECONOMIC!A1" display="→  MACROECONOMIC" xr:uid="{0151A61A-5C97-9748-96F9-38D3C7BD6318}"/>
    <hyperlink ref="B14" location="'TECHNOLOGY REGISTER'!A1" display="→  TECHNOLOGY REGISTER" xr:uid="{C4FC7C41-ED5E-8D47-86E2-CE3624966F7E}"/>
    <hyperlink ref="B15" location="'INVESTMENT PLAN'!A1" display="→  INVESTMENT PLAN" xr:uid="{B474D4EE-1FE4-944F-B20A-FEBEEC8A4F87}"/>
    <hyperlink ref="B16" location="'EXISTING INFRASTRUCTURE'!A1" display="→  EXISTING INFRASTRUCTURE" xr:uid="{80C8FA64-B4A4-594B-A373-8DDDDED256C6}"/>
    <hyperlink ref="B17" location="'NEW INFRASTRUCTURE'!A1" display="→  NEW INFRASTRUCTURE" xr:uid="{2180032F-F557-0642-880A-E28BEFBF2965}"/>
    <hyperlink ref="B18" location="'PPA REVENUE'!A1" display="→  PPA REVENUE" xr:uid="{4D5C5A48-CDA9-2D40-A30F-68B53B56E466}"/>
    <hyperlink ref="B19" location="'WHOLESALE REVENUE'!A1" display="→  WHOLESALE REVENUE" xr:uid="{29DE5B9D-F592-4947-AD12-DF54C8CB20B9}"/>
    <hyperlink ref="B20" location="'OTHER REVENUE'!A1" display="→  OTHER REVENUE" xr:uid="{0B14E04D-EC66-8145-8102-8987312A4F1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1D0C-6A3F-7D4B-AAF9-D66AFA09E751}">
  <sheetPr>
    <tabColor rgb="FF1F3864"/>
  </sheetPr>
  <dimension ref="B1:BN25"/>
  <sheetViews>
    <sheetView showGridLines="0" topLeftCell="A14" zoomScale="164" zoomScaleNormal="185" workbookViewId="0">
      <pane xSplit="4" topLeftCell="E1" activePane="topRight" state="frozen"/>
      <selection pane="topRight" activeCell="C9" sqref="C9"/>
    </sheetView>
  </sheetViews>
  <sheetFormatPr defaultColWidth="8.6875" defaultRowHeight="14.25" x14ac:dyDescent="0.45"/>
  <cols>
    <col min="1" max="1" width="3" style="3" customWidth="1"/>
    <col min="2" max="2" width="22.8125" style="3" bestFit="1" customWidth="1"/>
    <col min="3" max="3" width="5.3125" style="3" bestFit="1" customWidth="1"/>
    <col min="4" max="4" width="18" style="3" customWidth="1"/>
    <col min="5" max="5" width="15.8125" style="3" bestFit="1" customWidth="1"/>
    <col min="6" max="18" width="8.3125" style="3" customWidth="1"/>
    <col min="19" max="27" width="8.6875" style="3" customWidth="1"/>
    <col min="28" max="33" width="11.6875" style="3" bestFit="1" customWidth="1"/>
    <col min="34" max="34" width="10.6875" style="3" bestFit="1" customWidth="1"/>
    <col min="35" max="43" width="11.6875" style="3" bestFit="1" customWidth="1"/>
    <col min="44" max="44" width="8.6875" style="3" customWidth="1"/>
    <col min="45" max="53" width="11.6875" style="3" bestFit="1" customWidth="1"/>
    <col min="54" max="54" width="10.6875" style="3" bestFit="1" customWidth="1"/>
    <col min="55" max="56" width="11.6875" style="3" bestFit="1" customWidth="1"/>
    <col min="57" max="57" width="10.6875" style="3" bestFit="1" customWidth="1"/>
    <col min="58" max="60" width="11.6875" style="3" bestFit="1" customWidth="1"/>
    <col min="61" max="61" width="10.3125" style="3" bestFit="1" customWidth="1"/>
    <col min="62" max="66" width="11.6875" style="3" bestFit="1" customWidth="1"/>
    <col min="67" max="16384" width="8.6875" style="3"/>
  </cols>
  <sheetData>
    <row r="1" spans="2:66" ht="18" customHeight="1" x14ac:dyDescent="0.45"/>
    <row r="2" spans="2:66" ht="36" customHeight="1" x14ac:dyDescent="0.45">
      <c r="B2" s="61" t="s">
        <v>93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</row>
    <row r="3" spans="2:66" ht="13.5" customHeight="1" x14ac:dyDescent="0.5">
      <c r="B3" s="51" t="s">
        <v>94</v>
      </c>
      <c r="C3" s="4"/>
    </row>
    <row r="5" spans="2:66" ht="14.65" thickBot="1" x14ac:dyDescent="0.5">
      <c r="B5" s="10" t="s">
        <v>95</v>
      </c>
      <c r="C5" s="10" t="s">
        <v>42</v>
      </c>
      <c r="D5" s="11" t="s">
        <v>96</v>
      </c>
      <c r="E5" s="13" t="s">
        <v>104</v>
      </c>
      <c r="F5" s="12">
        <v>2010</v>
      </c>
      <c r="G5" s="12">
        <v>2011</v>
      </c>
      <c r="H5" s="12">
        <v>2012</v>
      </c>
      <c r="I5" s="12">
        <v>2013</v>
      </c>
      <c r="J5" s="12">
        <v>2014</v>
      </c>
      <c r="K5" s="12">
        <v>2015</v>
      </c>
      <c r="L5" s="12">
        <v>2016</v>
      </c>
      <c r="M5" s="12">
        <v>2017</v>
      </c>
      <c r="N5" s="12">
        <v>2018</v>
      </c>
      <c r="O5" s="12">
        <v>2019</v>
      </c>
      <c r="P5" s="12">
        <v>2020</v>
      </c>
      <c r="Q5" s="12">
        <v>2021</v>
      </c>
      <c r="R5" s="12">
        <v>2022</v>
      </c>
      <c r="S5" s="12">
        <v>2023</v>
      </c>
      <c r="T5" s="12">
        <v>2024</v>
      </c>
      <c r="U5" s="12">
        <v>2025</v>
      </c>
      <c r="V5" s="12">
        <v>2026</v>
      </c>
      <c r="W5" s="12">
        <v>2027</v>
      </c>
      <c r="X5" s="12">
        <v>2028</v>
      </c>
      <c r="Y5" s="12">
        <v>2029</v>
      </c>
      <c r="Z5" s="12">
        <v>2030</v>
      </c>
      <c r="AA5" s="12">
        <v>2031</v>
      </c>
      <c r="AB5" s="12">
        <v>2032</v>
      </c>
      <c r="AC5" s="12">
        <v>2033</v>
      </c>
      <c r="AD5" s="12">
        <v>2034</v>
      </c>
      <c r="AE5" s="12">
        <v>2035</v>
      </c>
      <c r="AF5" s="12">
        <v>2036</v>
      </c>
      <c r="AG5" s="12">
        <v>2037</v>
      </c>
      <c r="AH5" s="12">
        <v>2038</v>
      </c>
      <c r="AI5" s="12">
        <v>2039</v>
      </c>
      <c r="AJ5" s="12">
        <v>2040</v>
      </c>
      <c r="AK5" s="12">
        <v>2041</v>
      </c>
      <c r="AL5" s="12">
        <v>2042</v>
      </c>
      <c r="AM5" s="12">
        <v>2043</v>
      </c>
      <c r="AN5" s="12">
        <v>2044</v>
      </c>
      <c r="AO5" s="12">
        <v>2045</v>
      </c>
      <c r="AP5" s="12">
        <v>2046</v>
      </c>
      <c r="AQ5" s="12">
        <v>2047</v>
      </c>
      <c r="AR5" s="12">
        <v>2048</v>
      </c>
      <c r="AS5" s="12">
        <v>2049</v>
      </c>
      <c r="AT5" s="12">
        <v>2050</v>
      </c>
      <c r="AU5" s="12">
        <v>2051</v>
      </c>
      <c r="AV5" s="12">
        <v>2052</v>
      </c>
      <c r="AW5" s="12">
        <v>2053</v>
      </c>
      <c r="AX5" s="12">
        <v>2054</v>
      </c>
      <c r="AY5" s="12">
        <v>2055</v>
      </c>
      <c r="AZ5" s="12">
        <v>2056</v>
      </c>
      <c r="BA5" s="12">
        <v>2057</v>
      </c>
      <c r="BB5" s="12">
        <v>2058</v>
      </c>
      <c r="BC5" s="12">
        <v>2059</v>
      </c>
      <c r="BD5" s="12">
        <v>2060</v>
      </c>
      <c r="BE5" s="12">
        <v>2061</v>
      </c>
      <c r="BF5" s="12">
        <v>2062</v>
      </c>
      <c r="BG5" s="12">
        <v>2063</v>
      </c>
      <c r="BH5" s="12">
        <v>2064</v>
      </c>
      <c r="BI5" s="12">
        <v>2065</v>
      </c>
      <c r="BJ5" s="12">
        <v>2066</v>
      </c>
      <c r="BK5" s="12">
        <v>2067</v>
      </c>
      <c r="BL5" s="12">
        <v>2068</v>
      </c>
      <c r="BM5" s="12">
        <v>2069</v>
      </c>
      <c r="BN5" s="12">
        <v>2070</v>
      </c>
    </row>
    <row r="6" spans="2:66" s="31" customFormat="1" ht="13.15" x14ac:dyDescent="0.4">
      <c r="B6" s="59" t="s">
        <v>102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</row>
    <row r="7" spans="2:66" s="31" customFormat="1" ht="13.15" x14ac:dyDescent="0.4">
      <c r="B7" s="8" t="s">
        <v>111</v>
      </c>
      <c r="C7" s="24"/>
      <c r="D7" s="24"/>
      <c r="E7" s="9" t="s">
        <v>51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</row>
    <row r="8" spans="2:66" s="31" customFormat="1" ht="13.15" x14ac:dyDescent="0.4">
      <c r="B8" s="6" t="s">
        <v>50</v>
      </c>
      <c r="C8" s="7" t="s">
        <v>51</v>
      </c>
      <c r="D8" s="23" t="s">
        <v>103</v>
      </c>
      <c r="E8" s="23"/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>
        <v>1</v>
      </c>
      <c r="AK8" s="7">
        <v>1</v>
      </c>
      <c r="AL8" s="7">
        <v>1</v>
      </c>
      <c r="AM8" s="7">
        <v>1</v>
      </c>
      <c r="AN8" s="7">
        <v>1</v>
      </c>
      <c r="AO8" s="7">
        <v>1</v>
      </c>
      <c r="AP8" s="7">
        <v>1</v>
      </c>
      <c r="AQ8" s="7">
        <v>1</v>
      </c>
      <c r="AR8" s="7">
        <v>1</v>
      </c>
      <c r="AS8" s="7">
        <v>1</v>
      </c>
      <c r="AT8" s="7">
        <v>1</v>
      </c>
      <c r="AU8" s="7">
        <v>1</v>
      </c>
      <c r="AV8" s="7">
        <v>1</v>
      </c>
      <c r="AW8" s="7">
        <v>1</v>
      </c>
      <c r="AX8" s="7">
        <v>1</v>
      </c>
      <c r="AY8" s="7">
        <v>1</v>
      </c>
      <c r="AZ8" s="7">
        <v>1</v>
      </c>
      <c r="BA8" s="7">
        <v>1</v>
      </c>
      <c r="BB8" s="7">
        <v>1</v>
      </c>
      <c r="BC8" s="7">
        <v>1</v>
      </c>
      <c r="BD8" s="7">
        <v>1</v>
      </c>
      <c r="BE8" s="7">
        <v>1</v>
      </c>
      <c r="BF8" s="7">
        <v>1</v>
      </c>
      <c r="BG8" s="7">
        <v>1</v>
      </c>
      <c r="BH8" s="7">
        <v>1</v>
      </c>
      <c r="BI8" s="7">
        <v>1</v>
      </c>
      <c r="BJ8" s="7">
        <v>1</v>
      </c>
      <c r="BK8" s="7">
        <v>1</v>
      </c>
      <c r="BL8" s="7">
        <v>1</v>
      </c>
      <c r="BM8" s="7">
        <v>1</v>
      </c>
      <c r="BN8" s="7">
        <v>1</v>
      </c>
    </row>
    <row r="9" spans="2:66" s="31" customFormat="1" ht="13.15" x14ac:dyDescent="0.4">
      <c r="B9" s="8" t="s">
        <v>52</v>
      </c>
      <c r="C9" s="9" t="s">
        <v>53</v>
      </c>
      <c r="D9" s="24" t="s">
        <v>103</v>
      </c>
      <c r="E9" s="24"/>
      <c r="F9" s="58">
        <v>79.23</v>
      </c>
      <c r="G9" s="58">
        <v>88.81</v>
      </c>
      <c r="H9" s="58">
        <v>84.53</v>
      </c>
      <c r="I9" s="58">
        <v>86.12</v>
      </c>
      <c r="J9" s="58">
        <v>87.92</v>
      </c>
      <c r="K9" s="58">
        <v>98.18</v>
      </c>
      <c r="L9" s="58">
        <v>101.5</v>
      </c>
      <c r="M9" s="58">
        <v>103.41</v>
      </c>
      <c r="N9" s="58">
        <v>101.3</v>
      </c>
      <c r="O9" s="58">
        <v>101.99</v>
      </c>
      <c r="P9" s="58">
        <v>106.45</v>
      </c>
      <c r="Q9" s="58">
        <v>109.64</v>
      </c>
      <c r="R9" s="58">
        <v>117.87</v>
      </c>
      <c r="S9" s="58">
        <v>139.85</v>
      </c>
      <c r="T9" s="58">
        <v>134.82</v>
      </c>
      <c r="U9" s="58">
        <v>134.82</v>
      </c>
      <c r="V9" s="58">
        <v>138.47362199999998</v>
      </c>
      <c r="W9" s="58">
        <v>142.22625715619995</v>
      </c>
      <c r="X9" s="58">
        <v>146.08058872513294</v>
      </c>
      <c r="Y9" s="58">
        <v>150.03937267958403</v>
      </c>
      <c r="Z9" s="58">
        <v>154.10543967920074</v>
      </c>
      <c r="AA9" s="58">
        <v>158.28169709450708</v>
      </c>
      <c r="AB9" s="58">
        <v>162.5711310857682</v>
      </c>
      <c r="AC9" s="58">
        <v>166.97680873819252</v>
      </c>
      <c r="AD9" s="58">
        <v>171.50188025499753</v>
      </c>
      <c r="AE9" s="58">
        <v>176.14958120990795</v>
      </c>
      <c r="AF9" s="58">
        <v>180.92323486069643</v>
      </c>
      <c r="AG9" s="58">
        <v>185.82625452542129</v>
      </c>
      <c r="AH9" s="58">
        <v>190.86214602306018</v>
      </c>
      <c r="AI9" s="58">
        <v>196.03451018028508</v>
      </c>
      <c r="AJ9" s="58">
        <v>201.34704540617079</v>
      </c>
      <c r="AK9" s="58">
        <v>206.803550336678</v>
      </c>
      <c r="AL9" s="58">
        <v>212.40792655080196</v>
      </c>
      <c r="AM9" s="58">
        <v>218.16418136032868</v>
      </c>
      <c r="AN9" s="58">
        <v>224.07643067519356</v>
      </c>
      <c r="AO9" s="58">
        <v>230.14890194649129</v>
      </c>
      <c r="AP9" s="58">
        <v>236.38593718924119</v>
      </c>
      <c r="AQ9" s="58">
        <v>242.79199608706961</v>
      </c>
      <c r="AR9" s="58">
        <v>249.37165918102917</v>
      </c>
      <c r="AS9" s="58">
        <v>256.12963114483506</v>
      </c>
      <c r="AT9" s="58">
        <v>263.07074414886006</v>
      </c>
      <c r="AU9" s="58">
        <v>270.19996131529416</v>
      </c>
      <c r="AV9" s="58">
        <v>277.52238026693863</v>
      </c>
      <c r="AW9" s="58">
        <v>285.04323677217263</v>
      </c>
      <c r="AX9" s="58">
        <v>292.76790848869848</v>
      </c>
      <c r="AY9" s="58">
        <v>300.70191880874216</v>
      </c>
      <c r="AZ9" s="58">
        <v>308.85094080845903</v>
      </c>
      <c r="BA9" s="58">
        <v>317.22080130436825</v>
      </c>
      <c r="BB9" s="58">
        <v>325.81748501971663</v>
      </c>
      <c r="BC9" s="58">
        <v>334.64713886375091</v>
      </c>
      <c r="BD9" s="58">
        <v>343.7160763269585</v>
      </c>
      <c r="BE9" s="58">
        <v>353.03078199541903</v>
      </c>
      <c r="BF9" s="58">
        <v>362.59791618749483</v>
      </c>
      <c r="BG9" s="58">
        <v>372.42431971617589</v>
      </c>
      <c r="BH9" s="58">
        <v>382.51701878048419</v>
      </c>
      <c r="BI9" s="58">
        <v>392.88322998943528</v>
      </c>
      <c r="BJ9" s="58">
        <v>403.53036552214894</v>
      </c>
      <c r="BK9" s="58">
        <v>414.46603842779916</v>
      </c>
      <c r="BL9" s="58">
        <v>425.69806806919246</v>
      </c>
      <c r="BM9" s="58">
        <v>437.23448571386751</v>
      </c>
      <c r="BN9" s="58">
        <v>449.08354027671328</v>
      </c>
    </row>
    <row r="10" spans="2:66" s="31" customFormat="1" ht="13.15" x14ac:dyDescent="0.4">
      <c r="B10" s="6" t="s">
        <v>43</v>
      </c>
      <c r="C10" s="7" t="s">
        <v>54</v>
      </c>
      <c r="D10" s="23" t="s">
        <v>103</v>
      </c>
      <c r="E10" s="23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</row>
    <row r="11" spans="2:66" s="31" customFormat="1" ht="13.15" x14ac:dyDescent="0.4">
      <c r="B11" s="8" t="s">
        <v>43</v>
      </c>
      <c r="C11" s="9" t="s">
        <v>55</v>
      </c>
      <c r="D11" s="24" t="s">
        <v>103</v>
      </c>
      <c r="E11" s="24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2:66" s="31" customFormat="1" ht="13.15" x14ac:dyDescent="0.4">
      <c r="B12" s="6" t="s">
        <v>43</v>
      </c>
      <c r="C12" s="7" t="s">
        <v>56</v>
      </c>
      <c r="D12" s="23" t="s">
        <v>103</v>
      </c>
      <c r="E12" s="23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2:66" s="31" customFormat="1" ht="13.15" x14ac:dyDescent="0.4">
      <c r="B13" s="8" t="s">
        <v>43</v>
      </c>
      <c r="C13" s="9" t="s">
        <v>57</v>
      </c>
      <c r="D13" s="24" t="s">
        <v>103</v>
      </c>
      <c r="E13" s="24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</row>
    <row r="14" spans="2:66" s="31" customFormat="1" ht="13.15" x14ac:dyDescent="0.4">
      <c r="B14" s="6" t="s">
        <v>43</v>
      </c>
      <c r="C14" s="7" t="s">
        <v>58</v>
      </c>
      <c r="D14" s="23" t="s">
        <v>103</v>
      </c>
      <c r="E14" s="23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2:66" s="31" customFormat="1" ht="13.15" x14ac:dyDescent="0.4">
      <c r="B15" s="8" t="s">
        <v>43</v>
      </c>
      <c r="C15" s="9" t="s">
        <v>60</v>
      </c>
      <c r="D15" s="24" t="s">
        <v>103</v>
      </c>
      <c r="E15" s="24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</row>
    <row r="16" spans="2:66" s="31" customFormat="1" ht="13.15" x14ac:dyDescent="0.4">
      <c r="B16" s="6" t="s">
        <v>43</v>
      </c>
      <c r="C16" s="7" t="s">
        <v>61</v>
      </c>
      <c r="D16" s="23" t="s">
        <v>103</v>
      </c>
      <c r="E16" s="23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2:66" s="31" customFormat="1" ht="13.15" x14ac:dyDescent="0.4">
      <c r="B17" s="8" t="s">
        <v>43</v>
      </c>
      <c r="C17" s="9" t="s">
        <v>62</v>
      </c>
      <c r="D17" s="24" t="s">
        <v>103</v>
      </c>
      <c r="E17" s="24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</row>
    <row r="18" spans="2:66" s="31" customFormat="1" ht="13.15" x14ac:dyDescent="0.4">
      <c r="B18" s="59" t="s">
        <v>101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</row>
    <row r="19" spans="2:66" s="31" customFormat="1" ht="13.15" x14ac:dyDescent="0.4">
      <c r="B19" s="6" t="s">
        <v>4</v>
      </c>
      <c r="C19" s="23"/>
      <c r="D19" s="23" t="s">
        <v>100</v>
      </c>
      <c r="E19" s="2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>
        <v>75244</v>
      </c>
      <c r="V19" s="14">
        <v>76019</v>
      </c>
      <c r="W19" s="14">
        <v>81084</v>
      </c>
      <c r="X19" s="14">
        <v>86456</v>
      </c>
      <c r="Y19" s="14">
        <v>92244</v>
      </c>
      <c r="Z19" s="14">
        <v>98554</v>
      </c>
      <c r="AA19" s="14">
        <v>103482</v>
      </c>
      <c r="AB19" s="14">
        <v>108656</v>
      </c>
      <c r="AC19" s="14">
        <v>114089</v>
      </c>
      <c r="AD19" s="14">
        <v>119793</v>
      </c>
      <c r="AE19" s="14">
        <v>125783</v>
      </c>
      <c r="AF19" s="14">
        <v>132072</v>
      </c>
      <c r="AG19" s="14">
        <v>138675</v>
      </c>
      <c r="AH19" s="14">
        <v>145609</v>
      </c>
      <c r="AI19" s="14">
        <v>152890</v>
      </c>
      <c r="AJ19" s="14">
        <v>160534</v>
      </c>
      <c r="AK19" s="14">
        <v>168561</v>
      </c>
      <c r="AL19" s="14">
        <v>176989</v>
      </c>
      <c r="AM19" s="14">
        <v>185838</v>
      </c>
      <c r="AN19" s="14">
        <v>195130</v>
      </c>
      <c r="AO19" s="14">
        <v>204887</v>
      </c>
      <c r="AP19" s="14">
        <v>215131</v>
      </c>
      <c r="AQ19" s="14">
        <v>225888</v>
      </c>
      <c r="AR19" s="14">
        <v>237182</v>
      </c>
      <c r="AS19" s="14">
        <v>249041</v>
      </c>
      <c r="AT19" s="14">
        <v>261493</v>
      </c>
      <c r="AU19" s="14">
        <v>274568</v>
      </c>
      <c r="AV19" s="14">
        <v>288296</v>
      </c>
      <c r="AW19" s="14">
        <v>302711</v>
      </c>
      <c r="AX19" s="14">
        <v>317846</v>
      </c>
      <c r="AY19" s="14">
        <v>333739</v>
      </c>
      <c r="AZ19" s="14">
        <v>350426</v>
      </c>
      <c r="BA19" s="14">
        <v>367947</v>
      </c>
      <c r="BB19" s="14">
        <v>386344</v>
      </c>
      <c r="BC19" s="14">
        <v>405662</v>
      </c>
      <c r="BD19" s="14">
        <v>425945</v>
      </c>
      <c r="BE19" s="14">
        <v>447242</v>
      </c>
      <c r="BF19" s="14">
        <v>469604</v>
      </c>
      <c r="BG19" s="14">
        <v>493084</v>
      </c>
      <c r="BH19" s="14">
        <v>517738</v>
      </c>
      <c r="BI19" s="14">
        <v>543625</v>
      </c>
      <c r="BJ19" s="14">
        <v>570807</v>
      </c>
      <c r="BK19" s="14">
        <v>599347</v>
      </c>
      <c r="BL19" s="14">
        <v>629314</v>
      </c>
      <c r="BM19" s="14">
        <v>660780</v>
      </c>
      <c r="BN19" s="14">
        <v>693819</v>
      </c>
    </row>
    <row r="20" spans="2:66" s="31" customFormat="1" ht="13.15" x14ac:dyDescent="0.4">
      <c r="B20" s="59" t="s">
        <v>105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</row>
    <row r="21" spans="2:66" s="31" customFormat="1" ht="13.15" x14ac:dyDescent="0.4">
      <c r="B21" s="6" t="s">
        <v>59</v>
      </c>
      <c r="C21" s="23"/>
      <c r="D21" s="23" t="s">
        <v>97</v>
      </c>
      <c r="E21" s="7">
        <v>8.8999999999999996E-2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  <row r="22" spans="2:66" s="31" customFormat="1" ht="13.15" x14ac:dyDescent="0.4">
      <c r="B22" s="59" t="s">
        <v>202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</row>
    <row r="23" spans="2:66" s="31" customFormat="1" ht="13.15" x14ac:dyDescent="0.4">
      <c r="B23" s="6" t="s">
        <v>203</v>
      </c>
      <c r="C23" s="23"/>
      <c r="D23" s="23"/>
      <c r="E23" s="7">
        <v>1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</row>
    <row r="24" spans="2:66" s="31" customFormat="1" ht="13.15" x14ac:dyDescent="0.4">
      <c r="B24" s="59" t="s">
        <v>204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</row>
    <row r="25" spans="2:66" s="31" customFormat="1" ht="13.15" x14ac:dyDescent="0.4">
      <c r="B25" s="6" t="s">
        <v>205</v>
      </c>
      <c r="C25" s="23"/>
      <c r="D25" s="23"/>
      <c r="E25" s="7">
        <v>2026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</row>
  </sheetData>
  <mergeCells count="6">
    <mergeCell ref="B24:BN24"/>
    <mergeCell ref="B2:BN2"/>
    <mergeCell ref="B6:BN6"/>
    <mergeCell ref="B18:BN18"/>
    <mergeCell ref="B20:BN20"/>
    <mergeCell ref="B22:BN22"/>
  </mergeCells>
  <phoneticPr fontId="1" type="noConversion"/>
  <dataValidations count="1">
    <dataValidation type="list" allowBlank="1" showInputMessage="1" showErrorMessage="1" sqref="E7" xr:uid="{6B33210F-3FE2-7F46-A184-E0882A223EB0}">
      <formula1>$C$8:$C$17</formula1>
    </dataValidation>
  </dataValidations>
  <hyperlinks>
    <hyperlink ref="B3" location="COVER!A1" display="← Return to COVER" xr:uid="{7C237042-FE74-8D40-A9AF-38F6229CDD07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195F-1B2D-1646-8C35-3B4D422847B4}">
  <sheetPr>
    <tabColor theme="1"/>
  </sheetPr>
  <dimension ref="B1:E107"/>
  <sheetViews>
    <sheetView showGridLines="0" topLeftCell="A71" zoomScale="200" zoomScaleNormal="185" workbookViewId="0">
      <selection activeCell="G21" sqref="G21"/>
    </sheetView>
  </sheetViews>
  <sheetFormatPr defaultColWidth="8.6875" defaultRowHeight="14.25" x14ac:dyDescent="0.45"/>
  <cols>
    <col min="1" max="1" width="3" style="3" customWidth="1"/>
    <col min="2" max="2" width="15" style="3" bestFit="1" customWidth="1"/>
    <col min="3" max="3" width="23.1875" style="3" bestFit="1" customWidth="1"/>
    <col min="4" max="4" width="14.5" style="3" bestFit="1" customWidth="1"/>
    <col min="5" max="5" width="22.1875" style="3" bestFit="1" customWidth="1"/>
    <col min="6" max="16384" width="8.6875" style="3"/>
  </cols>
  <sheetData>
    <row r="1" spans="2:5" ht="18" customHeight="1" x14ac:dyDescent="0.45"/>
    <row r="2" spans="2:5" ht="36" customHeight="1" x14ac:dyDescent="0.45">
      <c r="B2" s="68" t="s">
        <v>180</v>
      </c>
      <c r="C2" s="68"/>
      <c r="D2" s="68"/>
      <c r="E2" s="68"/>
    </row>
    <row r="3" spans="2:5" ht="13.5" customHeight="1" x14ac:dyDescent="0.5">
      <c r="B3" s="51" t="s">
        <v>94</v>
      </c>
    </row>
    <row r="5" spans="2:5" ht="15" customHeight="1" thickBot="1" x14ac:dyDescent="0.5">
      <c r="B5" s="11" t="s">
        <v>0</v>
      </c>
      <c r="C5" s="13" t="s">
        <v>1</v>
      </c>
      <c r="D5" s="12" t="s">
        <v>2</v>
      </c>
      <c r="E5" s="12" t="s">
        <v>3</v>
      </c>
    </row>
    <row r="6" spans="2:5" s="31" customFormat="1" ht="20" customHeight="1" x14ac:dyDescent="0.4">
      <c r="B6" s="27" t="s">
        <v>122</v>
      </c>
      <c r="C6" s="27"/>
      <c r="D6" s="27"/>
      <c r="E6" s="27"/>
    </row>
    <row r="7" spans="2:5" customFormat="1" ht="15" customHeight="1" x14ac:dyDescent="0.5">
      <c r="B7" s="35"/>
      <c r="C7" s="35"/>
      <c r="D7" s="35" t="s">
        <v>8</v>
      </c>
      <c r="E7" s="35" t="s">
        <v>9</v>
      </c>
    </row>
    <row r="8" spans="2:5" customFormat="1" ht="15" customHeight="1" x14ac:dyDescent="0.5">
      <c r="B8" s="34"/>
      <c r="C8" s="34"/>
      <c r="D8" s="34" t="s">
        <v>11</v>
      </c>
      <c r="E8" s="34" t="s">
        <v>9</v>
      </c>
    </row>
    <row r="9" spans="2:5" customFormat="1" ht="15" customHeight="1" x14ac:dyDescent="0.5">
      <c r="B9" s="35"/>
      <c r="C9" s="35"/>
      <c r="D9" s="35" t="s">
        <v>14</v>
      </c>
      <c r="E9" s="35" t="s">
        <v>9</v>
      </c>
    </row>
    <row r="10" spans="2:5" customFormat="1" ht="15" customHeight="1" x14ac:dyDescent="0.5">
      <c r="B10" s="34"/>
      <c r="C10" s="34"/>
      <c r="D10" s="34" t="s">
        <v>206</v>
      </c>
      <c r="E10" s="34" t="s">
        <v>9</v>
      </c>
    </row>
    <row r="11" spans="2:5" customFormat="1" ht="15" customHeight="1" x14ac:dyDescent="0.5">
      <c r="B11" s="35"/>
      <c r="C11" s="35"/>
      <c r="D11" s="35" t="s">
        <v>16</v>
      </c>
      <c r="E11" s="35" t="s">
        <v>9</v>
      </c>
    </row>
    <row r="12" spans="2:5" customFormat="1" ht="15" customHeight="1" x14ac:dyDescent="0.5">
      <c r="B12" s="34"/>
      <c r="C12" s="34"/>
      <c r="D12" s="34" t="s">
        <v>18</v>
      </c>
      <c r="E12" s="34" t="s">
        <v>9</v>
      </c>
    </row>
    <row r="13" spans="2:5" customFormat="1" ht="15" customHeight="1" x14ac:dyDescent="0.5">
      <c r="B13" s="35"/>
      <c r="C13" s="35"/>
      <c r="D13" s="35" t="s">
        <v>22</v>
      </c>
      <c r="E13" s="35" t="s">
        <v>9</v>
      </c>
    </row>
    <row r="14" spans="2:5" customFormat="1" ht="15" customHeight="1" x14ac:dyDescent="0.5">
      <c r="B14" s="34"/>
      <c r="C14" s="34"/>
      <c r="D14" s="34" t="s">
        <v>207</v>
      </c>
      <c r="E14" s="34" t="s">
        <v>26</v>
      </c>
    </row>
    <row r="15" spans="2:5" customFormat="1" ht="15" customHeight="1" x14ac:dyDescent="0.5">
      <c r="B15" s="35"/>
      <c r="C15" s="35"/>
      <c r="D15" s="35" t="s">
        <v>25</v>
      </c>
      <c r="E15" s="35" t="s">
        <v>26</v>
      </c>
    </row>
    <row r="16" spans="2:5" ht="15" customHeight="1" x14ac:dyDescent="0.45">
      <c r="B16" s="34"/>
      <c r="C16" s="34"/>
      <c r="D16" s="34" t="s">
        <v>21</v>
      </c>
      <c r="E16" s="34" t="s">
        <v>26</v>
      </c>
    </row>
    <row r="17" spans="2:5" ht="15" customHeight="1" x14ac:dyDescent="0.45">
      <c r="B17" s="35"/>
      <c r="C17" s="35"/>
      <c r="D17" s="35" t="s">
        <v>29</v>
      </c>
      <c r="E17" s="35" t="s">
        <v>30</v>
      </c>
    </row>
    <row r="18" spans="2:5" ht="15" customHeight="1" x14ac:dyDescent="0.45">
      <c r="B18" s="34"/>
      <c r="C18" s="34"/>
      <c r="D18" s="34" t="s">
        <v>13</v>
      </c>
      <c r="E18" s="34" t="s">
        <v>33</v>
      </c>
    </row>
    <row r="19" spans="2:5" ht="15" customHeight="1" x14ac:dyDescent="0.45">
      <c r="B19" s="35"/>
      <c r="C19" s="35"/>
      <c r="D19" s="35" t="s">
        <v>35</v>
      </c>
      <c r="E19" s="35" t="s">
        <v>9</v>
      </c>
    </row>
    <row r="20" spans="2:5" ht="15" customHeight="1" x14ac:dyDescent="0.45">
      <c r="B20" s="34"/>
      <c r="C20" s="34"/>
      <c r="D20" s="34" t="s">
        <v>208</v>
      </c>
      <c r="E20" s="34" t="s">
        <v>211</v>
      </c>
    </row>
    <row r="21" spans="2:5" ht="15" customHeight="1" x14ac:dyDescent="0.45">
      <c r="B21" s="35"/>
      <c r="C21" s="35"/>
      <c r="D21" s="35" t="s">
        <v>209</v>
      </c>
      <c r="E21" s="35" t="s">
        <v>9</v>
      </c>
    </row>
    <row r="22" spans="2:5" ht="15" customHeight="1" x14ac:dyDescent="0.45">
      <c r="B22" s="34"/>
      <c r="C22" s="34"/>
      <c r="D22" s="34" t="s">
        <v>210</v>
      </c>
      <c r="E22" s="34" t="s">
        <v>26</v>
      </c>
    </row>
    <row r="23" spans="2:5" ht="15" customHeight="1" x14ac:dyDescent="0.45">
      <c r="B23" s="35"/>
      <c r="C23" s="35"/>
      <c r="D23" s="35" t="s">
        <v>41</v>
      </c>
      <c r="E23" s="35" t="s">
        <v>9</v>
      </c>
    </row>
    <row r="24" spans="2:5" ht="15" customHeight="1" x14ac:dyDescent="0.45">
      <c r="B24" s="34"/>
      <c r="C24" s="34"/>
      <c r="D24" s="34"/>
      <c r="E24" s="34"/>
    </row>
    <row r="25" spans="2:5" x14ac:dyDescent="0.45">
      <c r="B25" s="35"/>
      <c r="C25" s="35"/>
      <c r="D25" s="35"/>
      <c r="E25" s="35"/>
    </row>
    <row r="26" spans="2:5" x14ac:dyDescent="0.45">
      <c r="B26" s="34"/>
      <c r="C26" s="34"/>
      <c r="D26" s="34"/>
      <c r="E26" s="34"/>
    </row>
    <row r="27" spans="2:5" x14ac:dyDescent="0.45">
      <c r="B27" s="35"/>
      <c r="C27" s="35"/>
      <c r="D27" s="35"/>
      <c r="E27" s="35"/>
    </row>
    <row r="28" spans="2:5" x14ac:dyDescent="0.45">
      <c r="B28" s="34"/>
      <c r="C28" s="34"/>
      <c r="D28" s="34"/>
      <c r="E28" s="34"/>
    </row>
    <row r="29" spans="2:5" x14ac:dyDescent="0.45">
      <c r="B29" s="35"/>
      <c r="C29" s="35"/>
      <c r="D29" s="35"/>
      <c r="E29" s="35"/>
    </row>
    <row r="30" spans="2:5" x14ac:dyDescent="0.45">
      <c r="B30" s="34"/>
      <c r="C30" s="34"/>
      <c r="D30" s="34"/>
      <c r="E30" s="34"/>
    </row>
    <row r="31" spans="2:5" x14ac:dyDescent="0.45">
      <c r="B31" s="35"/>
      <c r="C31" s="35"/>
      <c r="D31" s="35"/>
      <c r="E31" s="35"/>
    </row>
    <row r="32" spans="2:5" x14ac:dyDescent="0.45">
      <c r="B32" s="34"/>
      <c r="C32" s="34"/>
      <c r="D32" s="34"/>
      <c r="E32" s="34"/>
    </row>
    <row r="33" spans="2:5" x14ac:dyDescent="0.45">
      <c r="B33" s="35"/>
      <c r="C33" s="35"/>
      <c r="D33" s="35"/>
      <c r="E33" s="35"/>
    </row>
    <row r="34" spans="2:5" x14ac:dyDescent="0.45">
      <c r="B34" s="34"/>
      <c r="C34" s="34"/>
      <c r="D34" s="34"/>
      <c r="E34" s="34"/>
    </row>
    <row r="35" spans="2:5" x14ac:dyDescent="0.45">
      <c r="B35" s="35"/>
      <c r="C35" s="35"/>
      <c r="D35" s="35"/>
      <c r="E35" s="35"/>
    </row>
    <row r="36" spans="2:5" x14ac:dyDescent="0.45">
      <c r="B36" s="34"/>
      <c r="C36" s="34"/>
      <c r="D36" s="34"/>
      <c r="E36" s="34"/>
    </row>
    <row r="37" spans="2:5" x14ac:dyDescent="0.45">
      <c r="B37" s="35"/>
      <c r="C37" s="35"/>
      <c r="D37" s="35"/>
      <c r="E37" s="35"/>
    </row>
    <row r="38" spans="2:5" x14ac:dyDescent="0.45">
      <c r="B38" s="34"/>
      <c r="C38" s="34"/>
      <c r="D38" s="34"/>
      <c r="E38" s="34"/>
    </row>
    <row r="39" spans="2:5" x14ac:dyDescent="0.45">
      <c r="B39" s="35"/>
      <c r="C39" s="35"/>
      <c r="D39" s="35"/>
      <c r="E39" s="35"/>
    </row>
    <row r="40" spans="2:5" x14ac:dyDescent="0.45">
      <c r="B40" s="34"/>
      <c r="C40" s="34"/>
      <c r="D40" s="34"/>
      <c r="E40" s="34"/>
    </row>
    <row r="41" spans="2:5" x14ac:dyDescent="0.45">
      <c r="B41" s="35"/>
      <c r="C41" s="35"/>
      <c r="D41" s="35"/>
      <c r="E41" s="35"/>
    </row>
    <row r="42" spans="2:5" x14ac:dyDescent="0.45">
      <c r="B42" s="34"/>
      <c r="C42" s="34"/>
      <c r="D42" s="34"/>
      <c r="E42" s="34"/>
    </row>
    <row r="43" spans="2:5" x14ac:dyDescent="0.45">
      <c r="B43" s="35"/>
      <c r="C43" s="35"/>
      <c r="D43" s="35"/>
      <c r="E43" s="35"/>
    </row>
    <row r="44" spans="2:5" x14ac:dyDescent="0.45">
      <c r="B44" s="34"/>
      <c r="C44" s="34"/>
      <c r="D44" s="34"/>
      <c r="E44" s="34"/>
    </row>
    <row r="45" spans="2:5" x14ac:dyDescent="0.45">
      <c r="B45" s="35"/>
      <c r="C45" s="35"/>
      <c r="D45" s="35"/>
      <c r="E45" s="35"/>
    </row>
    <row r="46" spans="2:5" x14ac:dyDescent="0.45">
      <c r="B46" s="34"/>
      <c r="C46" s="34"/>
      <c r="D46" s="34"/>
      <c r="E46" s="34"/>
    </row>
    <row r="47" spans="2:5" x14ac:dyDescent="0.45">
      <c r="B47" s="35"/>
      <c r="C47" s="35"/>
      <c r="D47" s="35"/>
      <c r="E47" s="35"/>
    </row>
    <row r="48" spans="2:5" x14ac:dyDescent="0.45">
      <c r="B48" s="34"/>
      <c r="C48" s="34"/>
      <c r="D48" s="34"/>
      <c r="E48" s="34"/>
    </row>
    <row r="49" spans="2:5" x14ac:dyDescent="0.45">
      <c r="B49" s="35"/>
      <c r="C49" s="35"/>
      <c r="D49" s="35"/>
      <c r="E49" s="35"/>
    </row>
    <row r="50" spans="2:5" x14ac:dyDescent="0.45">
      <c r="B50" s="34"/>
      <c r="C50" s="34"/>
      <c r="D50" s="34"/>
      <c r="E50" s="34"/>
    </row>
    <row r="51" spans="2:5" x14ac:dyDescent="0.45">
      <c r="B51" s="35"/>
      <c r="C51" s="35"/>
      <c r="D51" s="35"/>
      <c r="E51" s="35"/>
    </row>
    <row r="52" spans="2:5" x14ac:dyDescent="0.45">
      <c r="B52" s="34"/>
      <c r="C52" s="34"/>
      <c r="D52" s="34"/>
      <c r="E52" s="34"/>
    </row>
    <row r="53" spans="2:5" x14ac:dyDescent="0.45">
      <c r="B53" s="35"/>
      <c r="C53" s="35"/>
      <c r="D53" s="35"/>
      <c r="E53" s="35"/>
    </row>
    <row r="54" spans="2:5" x14ac:dyDescent="0.45">
      <c r="B54" s="34"/>
      <c r="C54" s="34"/>
      <c r="D54" s="34"/>
      <c r="E54" s="34"/>
    </row>
    <row r="55" spans="2:5" x14ac:dyDescent="0.45">
      <c r="B55" s="35"/>
      <c r="C55" s="35"/>
      <c r="D55" s="35"/>
      <c r="E55" s="35"/>
    </row>
    <row r="56" spans="2:5" ht="14.65" thickBot="1" x14ac:dyDescent="0.5">
      <c r="B56" s="34"/>
      <c r="C56" s="34"/>
      <c r="D56" s="34"/>
      <c r="E56" s="34"/>
    </row>
    <row r="57" spans="2:5" s="31" customFormat="1" ht="20" customHeight="1" x14ac:dyDescent="0.4">
      <c r="B57" s="69" t="s">
        <v>123</v>
      </c>
      <c r="C57" s="69"/>
      <c r="D57" s="69"/>
      <c r="E57" s="69"/>
    </row>
    <row r="58" spans="2:5" customFormat="1" ht="15" customHeight="1" x14ac:dyDescent="0.5">
      <c r="B58" s="35" t="s">
        <v>6</v>
      </c>
      <c r="C58" s="35" t="s">
        <v>7</v>
      </c>
      <c r="D58" s="35" t="s">
        <v>7</v>
      </c>
      <c r="E58" s="35" t="s">
        <v>9</v>
      </c>
    </row>
    <row r="59" spans="2:5" customFormat="1" ht="15" customHeight="1" x14ac:dyDescent="0.5">
      <c r="B59" s="34" t="s">
        <v>10</v>
      </c>
      <c r="C59" s="34" t="s">
        <v>8</v>
      </c>
      <c r="D59" s="34" t="s">
        <v>8</v>
      </c>
      <c r="E59" s="34" t="s">
        <v>9</v>
      </c>
    </row>
    <row r="60" spans="2:5" customFormat="1" ht="15" customHeight="1" x14ac:dyDescent="0.5">
      <c r="B60" s="35" t="s">
        <v>12</v>
      </c>
      <c r="C60" s="35" t="s">
        <v>13</v>
      </c>
      <c r="D60" s="35" t="s">
        <v>13</v>
      </c>
      <c r="E60" s="35" t="s">
        <v>33</v>
      </c>
    </row>
    <row r="61" spans="2:5" customFormat="1" ht="15" customHeight="1" x14ac:dyDescent="0.5">
      <c r="B61" s="34" t="s">
        <v>15</v>
      </c>
      <c r="C61" s="34" t="s">
        <v>11</v>
      </c>
      <c r="D61" s="34" t="s">
        <v>11</v>
      </c>
      <c r="E61" s="34" t="s">
        <v>9</v>
      </c>
    </row>
    <row r="62" spans="2:5" customFormat="1" ht="15" customHeight="1" x14ac:dyDescent="0.5">
      <c r="B62" s="35" t="s">
        <v>17</v>
      </c>
      <c r="C62" s="35" t="s">
        <v>16</v>
      </c>
      <c r="D62" s="35" t="s">
        <v>16</v>
      </c>
      <c r="E62" s="35" t="s">
        <v>9</v>
      </c>
    </row>
    <row r="63" spans="2:5" customFormat="1" ht="15" customHeight="1" x14ac:dyDescent="0.5">
      <c r="B63" s="34" t="s">
        <v>19</v>
      </c>
      <c r="C63" s="34" t="s">
        <v>20</v>
      </c>
      <c r="D63" s="34" t="s">
        <v>21</v>
      </c>
      <c r="E63" s="34" t="s">
        <v>26</v>
      </c>
    </row>
    <row r="64" spans="2:5" customFormat="1" ht="15" customHeight="1" x14ac:dyDescent="0.5">
      <c r="B64" s="35" t="s">
        <v>23</v>
      </c>
      <c r="C64" s="35" t="s">
        <v>24</v>
      </c>
      <c r="D64" s="35" t="s">
        <v>16</v>
      </c>
      <c r="E64" s="35" t="s">
        <v>9</v>
      </c>
    </row>
    <row r="65" spans="2:5" customFormat="1" ht="15" customHeight="1" x14ac:dyDescent="0.5">
      <c r="B65" s="34" t="s">
        <v>27</v>
      </c>
      <c r="C65" s="34" t="s">
        <v>14</v>
      </c>
      <c r="D65" s="34" t="s">
        <v>14</v>
      </c>
      <c r="E65" s="34" t="s">
        <v>9</v>
      </c>
    </row>
    <row r="66" spans="2:5" customFormat="1" ht="15" customHeight="1" x14ac:dyDescent="0.5">
      <c r="B66" s="35" t="s">
        <v>28</v>
      </c>
      <c r="C66" s="35" t="s">
        <v>29</v>
      </c>
      <c r="D66" s="35" t="s">
        <v>29</v>
      </c>
      <c r="E66" s="35" t="s">
        <v>30</v>
      </c>
    </row>
    <row r="67" spans="2:5" ht="15" customHeight="1" x14ac:dyDescent="0.45">
      <c r="B67" s="34" t="s">
        <v>31</v>
      </c>
      <c r="C67" s="34" t="s">
        <v>32</v>
      </c>
      <c r="D67" s="34" t="s">
        <v>22</v>
      </c>
      <c r="E67" s="34" t="s">
        <v>9</v>
      </c>
    </row>
    <row r="68" spans="2:5" ht="15" customHeight="1" x14ac:dyDescent="0.45">
      <c r="B68" s="35" t="s">
        <v>34</v>
      </c>
      <c r="C68" s="35" t="s">
        <v>25</v>
      </c>
      <c r="D68" s="35" t="s">
        <v>25</v>
      </c>
      <c r="E68" s="35" t="s">
        <v>26</v>
      </c>
    </row>
    <row r="69" spans="2:5" ht="15" customHeight="1" x14ac:dyDescent="0.45">
      <c r="B69" s="34" t="s">
        <v>36</v>
      </c>
      <c r="C69" s="34" t="s">
        <v>35</v>
      </c>
      <c r="D69" s="34" t="s">
        <v>35</v>
      </c>
      <c r="E69" s="34" t="s">
        <v>9</v>
      </c>
    </row>
    <row r="70" spans="2:5" ht="15" customHeight="1" x14ac:dyDescent="0.45">
      <c r="B70" s="35" t="s">
        <v>37</v>
      </c>
      <c r="C70" s="35" t="s">
        <v>18</v>
      </c>
      <c r="D70" s="35" t="s">
        <v>18</v>
      </c>
      <c r="E70" s="35" t="s">
        <v>9</v>
      </c>
    </row>
    <row r="71" spans="2:5" ht="15" customHeight="1" x14ac:dyDescent="0.45">
      <c r="B71" s="34" t="s">
        <v>39</v>
      </c>
      <c r="C71" s="34" t="s">
        <v>25</v>
      </c>
      <c r="D71" s="34" t="s">
        <v>25</v>
      </c>
      <c r="E71" s="34" t="s">
        <v>26</v>
      </c>
    </row>
    <row r="72" spans="2:5" ht="15" customHeight="1" x14ac:dyDescent="0.45">
      <c r="B72" s="35" t="s">
        <v>40</v>
      </c>
      <c r="C72" s="35" t="s">
        <v>41</v>
      </c>
      <c r="D72" s="35" t="s">
        <v>16</v>
      </c>
      <c r="E72" s="35" t="s">
        <v>9</v>
      </c>
    </row>
    <row r="73" spans="2:5" ht="15" customHeight="1" x14ac:dyDescent="0.45">
      <c r="B73" s="34"/>
      <c r="C73" s="34"/>
      <c r="D73" s="34"/>
      <c r="E73" s="34"/>
    </row>
    <row r="74" spans="2:5" ht="15" customHeight="1" x14ac:dyDescent="0.45">
      <c r="B74" s="35"/>
      <c r="C74" s="35"/>
      <c r="D74" s="35"/>
      <c r="E74" s="35"/>
    </row>
    <row r="75" spans="2:5" ht="15" customHeight="1" x14ac:dyDescent="0.45">
      <c r="B75" s="34"/>
      <c r="C75" s="34"/>
      <c r="D75" s="34"/>
      <c r="E75" s="34"/>
    </row>
    <row r="76" spans="2:5" x14ac:dyDescent="0.45">
      <c r="B76" s="35"/>
      <c r="C76" s="35"/>
      <c r="D76" s="35"/>
      <c r="E76" s="35"/>
    </row>
    <row r="77" spans="2:5" x14ac:dyDescent="0.45">
      <c r="B77" s="34"/>
      <c r="C77" s="34"/>
      <c r="D77" s="34"/>
      <c r="E77" s="34"/>
    </row>
    <row r="78" spans="2:5" x14ac:dyDescent="0.45">
      <c r="B78" s="35"/>
      <c r="C78" s="35"/>
      <c r="D78" s="35"/>
      <c r="E78" s="35"/>
    </row>
    <row r="79" spans="2:5" x14ac:dyDescent="0.45">
      <c r="B79" s="34"/>
      <c r="C79" s="34"/>
      <c r="D79" s="34"/>
      <c r="E79" s="34"/>
    </row>
    <row r="80" spans="2:5" x14ac:dyDescent="0.45">
      <c r="B80" s="35"/>
      <c r="C80" s="35"/>
      <c r="D80" s="35"/>
      <c r="E80" s="35"/>
    </row>
    <row r="81" spans="2:5" x14ac:dyDescent="0.45">
      <c r="B81" s="34"/>
      <c r="C81" s="34"/>
      <c r="D81" s="34"/>
      <c r="E81" s="34"/>
    </row>
    <row r="82" spans="2:5" x14ac:dyDescent="0.45">
      <c r="B82" s="35"/>
      <c r="C82" s="35"/>
      <c r="D82" s="35"/>
      <c r="E82" s="35"/>
    </row>
    <row r="83" spans="2:5" x14ac:dyDescent="0.45">
      <c r="B83" s="34"/>
      <c r="C83" s="34"/>
      <c r="D83" s="34"/>
      <c r="E83" s="34"/>
    </row>
    <row r="84" spans="2:5" x14ac:dyDescent="0.45">
      <c r="B84" s="35"/>
      <c r="C84" s="35"/>
      <c r="D84" s="35"/>
      <c r="E84" s="35"/>
    </row>
    <row r="85" spans="2:5" x14ac:dyDescent="0.45">
      <c r="B85" s="34"/>
      <c r="C85" s="34"/>
      <c r="D85" s="34"/>
      <c r="E85" s="34"/>
    </row>
    <row r="86" spans="2:5" x14ac:dyDescent="0.45">
      <c r="B86" s="35"/>
      <c r="C86" s="35"/>
      <c r="D86" s="35"/>
      <c r="E86" s="35"/>
    </row>
    <row r="87" spans="2:5" x14ac:dyDescent="0.45">
      <c r="B87" s="34"/>
      <c r="C87" s="34"/>
      <c r="D87" s="34"/>
      <c r="E87" s="34"/>
    </row>
    <row r="88" spans="2:5" x14ac:dyDescent="0.45">
      <c r="B88" s="35"/>
      <c r="C88" s="35"/>
      <c r="D88" s="35"/>
      <c r="E88" s="35"/>
    </row>
    <row r="89" spans="2:5" x14ac:dyDescent="0.45">
      <c r="B89" s="34"/>
      <c r="C89" s="34"/>
      <c r="D89" s="34"/>
      <c r="E89" s="34"/>
    </row>
    <row r="90" spans="2:5" x14ac:dyDescent="0.45">
      <c r="B90" s="35"/>
      <c r="C90" s="35"/>
      <c r="D90" s="35"/>
      <c r="E90" s="35"/>
    </row>
    <row r="91" spans="2:5" x14ac:dyDescent="0.45">
      <c r="B91" s="34"/>
      <c r="C91" s="34"/>
      <c r="D91" s="34"/>
      <c r="E91" s="34"/>
    </row>
    <row r="92" spans="2:5" x14ac:dyDescent="0.45">
      <c r="B92" s="35"/>
      <c r="C92" s="35"/>
      <c r="D92" s="35"/>
      <c r="E92" s="35"/>
    </row>
    <row r="93" spans="2:5" x14ac:dyDescent="0.45">
      <c r="B93" s="34"/>
      <c r="C93" s="34"/>
      <c r="D93" s="34"/>
      <c r="E93" s="34"/>
    </row>
    <row r="94" spans="2:5" x14ac:dyDescent="0.45">
      <c r="B94" s="35"/>
      <c r="C94" s="35"/>
      <c r="D94" s="35"/>
      <c r="E94" s="35"/>
    </row>
    <row r="95" spans="2:5" x14ac:dyDescent="0.45">
      <c r="B95" s="34"/>
      <c r="C95" s="34"/>
      <c r="D95" s="34"/>
      <c r="E95" s="34"/>
    </row>
    <row r="96" spans="2:5" x14ac:dyDescent="0.45">
      <c r="B96" s="35"/>
      <c r="C96" s="35"/>
      <c r="D96" s="35"/>
      <c r="E96" s="35"/>
    </row>
    <row r="97" spans="2:5" x14ac:dyDescent="0.45">
      <c r="B97" s="34"/>
      <c r="C97" s="34"/>
      <c r="D97" s="34"/>
      <c r="E97" s="34"/>
    </row>
    <row r="98" spans="2:5" x14ac:dyDescent="0.45">
      <c r="B98" s="35"/>
      <c r="C98" s="35"/>
      <c r="D98" s="35"/>
      <c r="E98" s="35"/>
    </row>
    <row r="99" spans="2:5" x14ac:dyDescent="0.45">
      <c r="B99" s="34"/>
      <c r="C99" s="34"/>
      <c r="D99" s="34"/>
      <c r="E99" s="34"/>
    </row>
    <row r="100" spans="2:5" x14ac:dyDescent="0.45">
      <c r="B100" s="35"/>
      <c r="C100" s="35"/>
      <c r="D100" s="35"/>
      <c r="E100" s="35"/>
    </row>
    <row r="101" spans="2:5" x14ac:dyDescent="0.45">
      <c r="B101" s="34"/>
      <c r="C101" s="34"/>
      <c r="D101" s="34"/>
      <c r="E101" s="34"/>
    </row>
    <row r="102" spans="2:5" x14ac:dyDescent="0.45">
      <c r="B102" s="35"/>
      <c r="C102" s="35"/>
      <c r="D102" s="35"/>
      <c r="E102" s="35"/>
    </row>
    <row r="103" spans="2:5" x14ac:dyDescent="0.45">
      <c r="B103" s="34"/>
      <c r="C103" s="34"/>
      <c r="D103" s="34"/>
      <c r="E103" s="34"/>
    </row>
    <row r="104" spans="2:5" x14ac:dyDescent="0.45">
      <c r="B104" s="35"/>
      <c r="C104" s="35"/>
      <c r="D104" s="35"/>
      <c r="E104" s="35"/>
    </row>
    <row r="105" spans="2:5" x14ac:dyDescent="0.45">
      <c r="B105" s="34"/>
      <c r="C105" s="34"/>
      <c r="D105" s="34"/>
      <c r="E105" s="34"/>
    </row>
    <row r="106" spans="2:5" x14ac:dyDescent="0.45">
      <c r="B106" s="35"/>
      <c r="C106" s="35"/>
      <c r="D106" s="35"/>
      <c r="E106" s="35"/>
    </row>
    <row r="107" spans="2:5" x14ac:dyDescent="0.45">
      <c r="B107" s="34"/>
      <c r="C107" s="34"/>
      <c r="D107" s="34"/>
      <c r="E107" s="34"/>
    </row>
  </sheetData>
  <mergeCells count="2">
    <mergeCell ref="B2:E2"/>
    <mergeCell ref="B57:E57"/>
  </mergeCells>
  <dataValidations count="3">
    <dataValidation type="list" allowBlank="1" showInputMessage="1" showErrorMessage="1" sqref="C62 C67 C72 C77 C82 C87 C92 C97 C102 C107 C11 C16 C21 C26 C31 C36 C41 C46 C51 C56" xr:uid="{AD51C9FF-3873-D541-82D1-F6F88B9574FC}">
      <formula1>#REF!</formula1>
    </dataValidation>
    <dataValidation type="list" allowBlank="1" showInputMessage="1" showErrorMessage="1" sqref="E58:E107 E7:E56" xr:uid="{40CD4E0A-1E2E-3F40-BCBB-49CDE32DE198}">
      <formula1>"Generation Renewable, Generation Fossil-Fuel, Transmission Infrastructure, Distribution Infrastructure, Exports"</formula1>
    </dataValidation>
    <dataValidation type="list" allowBlank="1" showInputMessage="1" showErrorMessage="1" sqref="D58:D107" xr:uid="{C9D0C8F7-3E90-044C-A484-55A27DDD3BA8}">
      <formula1>$D$7:$D$56</formula1>
    </dataValidation>
  </dataValidations>
  <hyperlinks>
    <hyperlink ref="B3" location="COVER!A1" display="← Return to COVER" xr:uid="{FA5CCC08-CCCE-104F-B81D-3A99EB4F4E8E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74A62-06E2-B545-A529-B739589602E9}">
  <sheetPr>
    <tabColor theme="1"/>
  </sheetPr>
  <dimension ref="B1:AY214"/>
  <sheetViews>
    <sheetView showGridLines="0" zoomScale="140" workbookViewId="0">
      <pane xSplit="4" ySplit="4" topLeftCell="E71" activePane="bottomRight" state="frozen"/>
      <selection pane="topRight"/>
      <selection pane="bottomLeft"/>
      <selection pane="bottomRight" activeCell="F22" sqref="F22"/>
    </sheetView>
  </sheetViews>
  <sheetFormatPr defaultColWidth="8.8125" defaultRowHeight="14.25" x14ac:dyDescent="0.45"/>
  <cols>
    <col min="1" max="1" width="3" style="15" customWidth="1"/>
    <col min="2" max="2" width="20" style="15" customWidth="1"/>
    <col min="3" max="3" width="13" style="15" customWidth="1"/>
    <col min="4" max="4" width="10" style="15" bestFit="1" customWidth="1"/>
    <col min="5" max="5" width="8.5" style="15" bestFit="1" customWidth="1"/>
    <col min="6" max="51" width="8" style="15" customWidth="1"/>
    <col min="52" max="16384" width="8.8125" style="15"/>
  </cols>
  <sheetData>
    <row r="1" spans="2:51" ht="36" customHeight="1" x14ac:dyDescent="0.45">
      <c r="B1" s="70" t="s">
        <v>124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</row>
    <row r="2" spans="2:51" ht="14" customHeight="1" x14ac:dyDescent="0.45">
      <c r="B2" s="52" t="s">
        <v>94</v>
      </c>
    </row>
    <row r="3" spans="2:51" ht="14" customHeight="1" x14ac:dyDescent="0.45">
      <c r="B3" s="28"/>
    </row>
    <row r="4" spans="2:51" ht="24" customHeight="1" thickBot="1" x14ac:dyDescent="0.5">
      <c r="B4" s="21" t="s">
        <v>72</v>
      </c>
      <c r="C4" s="21" t="s">
        <v>73</v>
      </c>
      <c r="D4" s="21" t="s">
        <v>2</v>
      </c>
      <c r="E4" s="11" t="s">
        <v>96</v>
      </c>
      <c r="F4" s="20">
        <v>2025</v>
      </c>
      <c r="G4" s="20">
        <v>2026</v>
      </c>
      <c r="H4" s="20">
        <v>2027</v>
      </c>
      <c r="I4" s="20">
        <v>2028</v>
      </c>
      <c r="J4" s="20">
        <v>2029</v>
      </c>
      <c r="K4" s="20">
        <v>2030</v>
      </c>
      <c r="L4" s="20">
        <v>2031</v>
      </c>
      <c r="M4" s="20">
        <v>2032</v>
      </c>
      <c r="N4" s="20">
        <v>2033</v>
      </c>
      <c r="O4" s="20">
        <v>2034</v>
      </c>
      <c r="P4" s="20">
        <v>2035</v>
      </c>
      <c r="Q4" s="20">
        <v>2036</v>
      </c>
      <c r="R4" s="20">
        <v>2037</v>
      </c>
      <c r="S4" s="20">
        <v>2038</v>
      </c>
      <c r="T4" s="20">
        <v>2039</v>
      </c>
      <c r="U4" s="20">
        <v>2040</v>
      </c>
      <c r="V4" s="20">
        <v>2041</v>
      </c>
      <c r="W4" s="20">
        <v>2042</v>
      </c>
      <c r="X4" s="20">
        <v>2043</v>
      </c>
      <c r="Y4" s="20">
        <v>2044</v>
      </c>
      <c r="Z4" s="20">
        <v>2045</v>
      </c>
      <c r="AA4" s="20">
        <v>2046</v>
      </c>
      <c r="AB4" s="20">
        <v>2047</v>
      </c>
      <c r="AC4" s="20">
        <v>2048</v>
      </c>
      <c r="AD4" s="20">
        <v>2049</v>
      </c>
      <c r="AE4" s="20">
        <v>2050</v>
      </c>
      <c r="AF4" s="20">
        <v>2051</v>
      </c>
      <c r="AG4" s="20">
        <v>2052</v>
      </c>
      <c r="AH4" s="20">
        <v>2053</v>
      </c>
      <c r="AI4" s="20">
        <v>2054</v>
      </c>
      <c r="AJ4" s="20">
        <v>2055</v>
      </c>
      <c r="AK4" s="20">
        <v>2056</v>
      </c>
      <c r="AL4" s="20">
        <v>2057</v>
      </c>
      <c r="AM4" s="20">
        <v>2058</v>
      </c>
      <c r="AN4" s="20">
        <v>2059</v>
      </c>
      <c r="AO4" s="20">
        <v>2060</v>
      </c>
      <c r="AP4" s="20">
        <v>2061</v>
      </c>
      <c r="AQ4" s="20">
        <v>2062</v>
      </c>
      <c r="AR4" s="20">
        <v>2063</v>
      </c>
      <c r="AS4" s="20">
        <v>2064</v>
      </c>
      <c r="AT4" s="20">
        <v>2065</v>
      </c>
      <c r="AU4" s="20">
        <v>2066</v>
      </c>
      <c r="AV4" s="20">
        <v>2067</v>
      </c>
      <c r="AW4" s="20">
        <v>2068</v>
      </c>
      <c r="AX4" s="20">
        <v>2069</v>
      </c>
      <c r="AY4" s="20">
        <v>2070</v>
      </c>
    </row>
    <row r="5" spans="2:51" customFormat="1" ht="20" customHeight="1" x14ac:dyDescent="0.5">
      <c r="B5" s="69" t="s">
        <v>110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</row>
    <row r="6" spans="2:51" ht="17" customHeight="1" x14ac:dyDescent="0.45">
      <c r="B6" s="33" t="s">
        <v>38</v>
      </c>
      <c r="C6" s="29" t="s">
        <v>5</v>
      </c>
      <c r="D6" s="19" t="str">
        <f>IF('TECHNOLOGY REGISTER'!B58="","",'TECHNOLOGY REGISTER'!B58)</f>
        <v>BESS_TECH</v>
      </c>
      <c r="E6" s="32" t="s">
        <v>100</v>
      </c>
      <c r="F6" s="36">
        <v>103.2542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36">
        <v>162.25020000000001</v>
      </c>
      <c r="M6" s="36">
        <v>33.746000000000002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81.544600000000003</v>
      </c>
      <c r="U6" s="36">
        <v>12.748200000000001</v>
      </c>
      <c r="V6" s="36">
        <v>191.9648</v>
      </c>
      <c r="W6" s="36">
        <v>15.408899999999999</v>
      </c>
      <c r="X6" s="36">
        <v>35.161999999999999</v>
      </c>
      <c r="Y6" s="36">
        <v>47.359699999999997</v>
      </c>
      <c r="Z6" s="36">
        <v>38.934899999999999</v>
      </c>
      <c r="AA6" s="36">
        <v>55.608400000000003</v>
      </c>
      <c r="AB6" s="36">
        <v>116.6024</v>
      </c>
      <c r="AC6" s="36">
        <v>73.127899999999997</v>
      </c>
      <c r="AD6" s="36">
        <v>138.84010000000001</v>
      </c>
      <c r="AE6" s="36">
        <v>83.766900000000007</v>
      </c>
      <c r="AF6" s="36">
        <v>261.36430000000001</v>
      </c>
      <c r="AG6" s="36">
        <v>125.16379999999999</v>
      </c>
      <c r="AH6" s="36">
        <v>154.0223</v>
      </c>
      <c r="AI6" s="36">
        <v>88.224000000000004</v>
      </c>
      <c r="AJ6" s="36">
        <v>97.708100000000002</v>
      </c>
      <c r="AK6" s="36">
        <v>123.3413</v>
      </c>
      <c r="AL6" s="36">
        <v>147.64279999999999</v>
      </c>
      <c r="AM6" s="36">
        <v>114.8274</v>
      </c>
      <c r="AN6" s="36">
        <v>176.57079999999999</v>
      </c>
      <c r="AO6" s="36">
        <v>157.14019999999999</v>
      </c>
      <c r="AP6" s="36">
        <v>317.47059999999999</v>
      </c>
      <c r="AQ6" s="36">
        <v>173.3126</v>
      </c>
      <c r="AR6" s="36">
        <v>196.91040000000001</v>
      </c>
      <c r="AS6" s="36">
        <v>133.1354</v>
      </c>
      <c r="AT6" s="36">
        <v>138.77520000000001</v>
      </c>
      <c r="AU6" s="36">
        <v>164.20599999999999</v>
      </c>
      <c r="AV6" s="36">
        <v>188.50749999999999</v>
      </c>
      <c r="AW6" s="36">
        <v>155.69210000000001</v>
      </c>
      <c r="AX6" s="36">
        <v>217.43559999999999</v>
      </c>
      <c r="AY6" s="36">
        <v>198.94839999999999</v>
      </c>
    </row>
    <row r="7" spans="2:51" ht="17" customHeight="1" x14ac:dyDescent="0.45">
      <c r="B7" s="8" t="s">
        <v>38</v>
      </c>
      <c r="C7" s="30" t="s">
        <v>5</v>
      </c>
      <c r="D7" s="17" t="str">
        <f>IF('TECHNOLOGY REGISTER'!B59="","",'TECHNOLOGY REGISTER'!B59)</f>
        <v>PWRBIO</v>
      </c>
      <c r="E7" s="24" t="s">
        <v>100</v>
      </c>
      <c r="F7" s="37">
        <v>0</v>
      </c>
      <c r="G7" s="37">
        <v>25</v>
      </c>
      <c r="H7" s="37">
        <v>0</v>
      </c>
      <c r="I7" s="37">
        <v>20</v>
      </c>
      <c r="J7" s="37">
        <v>0</v>
      </c>
      <c r="K7" s="37">
        <v>120.5</v>
      </c>
      <c r="L7" s="37">
        <v>50</v>
      </c>
      <c r="M7" s="37">
        <v>27</v>
      </c>
      <c r="N7" s="37">
        <v>7.5</v>
      </c>
      <c r="O7" s="37">
        <v>15</v>
      </c>
      <c r="P7" s="37">
        <v>0.75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37">
        <v>0</v>
      </c>
      <c r="AM7" s="37">
        <v>0</v>
      </c>
      <c r="AN7" s="37">
        <v>0</v>
      </c>
      <c r="AO7" s="37">
        <v>0</v>
      </c>
      <c r="AP7" s="37">
        <v>0</v>
      </c>
      <c r="AQ7" s="37">
        <v>0</v>
      </c>
      <c r="AR7" s="37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0</v>
      </c>
      <c r="AY7" s="37">
        <v>0</v>
      </c>
    </row>
    <row r="8" spans="2:51" ht="17" customHeight="1" x14ac:dyDescent="0.45">
      <c r="B8" s="33" t="s">
        <v>38</v>
      </c>
      <c r="C8" s="29" t="s">
        <v>5</v>
      </c>
      <c r="D8" s="19" t="str">
        <f>IF('TECHNOLOGY REGISTER'!B60="","",'TECHNOLOGY REGISTER'!B60)</f>
        <v>PWRDIST</v>
      </c>
      <c r="E8" s="32" t="s">
        <v>100</v>
      </c>
      <c r="F8" s="36">
        <v>191.74850000000001</v>
      </c>
      <c r="G8" s="36">
        <v>168.75149999999999</v>
      </c>
      <c r="H8" s="36">
        <v>318.42430000000002</v>
      </c>
      <c r="I8" s="36">
        <v>348.27910000000003</v>
      </c>
      <c r="J8" s="36">
        <v>393.27809999999999</v>
      </c>
      <c r="K8" s="36">
        <v>384.60899999999998</v>
      </c>
      <c r="L8" s="36">
        <v>367.28100000000001</v>
      </c>
      <c r="M8" s="36">
        <v>424.66340000000002</v>
      </c>
      <c r="N8" s="36">
        <v>412.65969999999999</v>
      </c>
      <c r="O8" s="36">
        <v>451.13389999999998</v>
      </c>
      <c r="P8" s="36">
        <v>467.86290000000002</v>
      </c>
      <c r="Q8" s="36">
        <v>480.09649999999999</v>
      </c>
      <c r="R8" s="36">
        <v>576.42809999999997</v>
      </c>
      <c r="S8" s="36">
        <v>600.44949999999994</v>
      </c>
      <c r="T8" s="36">
        <v>634.87180000000001</v>
      </c>
      <c r="U8" s="36">
        <v>673.11329999999998</v>
      </c>
      <c r="V8" s="36">
        <v>709.20740000000001</v>
      </c>
      <c r="W8" s="36">
        <v>734.02239999999995</v>
      </c>
      <c r="X8" s="36">
        <v>782.83709999999996</v>
      </c>
      <c r="Y8" s="36">
        <v>824.60590000000002</v>
      </c>
      <c r="Z8" s="36">
        <v>871.80160000000001</v>
      </c>
      <c r="AA8" s="36">
        <v>920.02179999999998</v>
      </c>
      <c r="AB8" s="36">
        <v>969.0675</v>
      </c>
      <c r="AC8" s="36">
        <v>1024.625</v>
      </c>
      <c r="AD8" s="36">
        <v>1081.2863</v>
      </c>
      <c r="AE8" s="36">
        <v>1138.7645</v>
      </c>
      <c r="AF8" s="36">
        <v>897.2713</v>
      </c>
      <c r="AG8" s="36">
        <v>897.2713</v>
      </c>
      <c r="AH8" s="36">
        <v>897.2713</v>
      </c>
      <c r="AI8" s="36">
        <v>897.2713</v>
      </c>
      <c r="AJ8" s="36">
        <v>897.2713</v>
      </c>
      <c r="AK8" s="36">
        <v>897.2713</v>
      </c>
      <c r="AL8" s="36">
        <v>897.2713</v>
      </c>
      <c r="AM8" s="36">
        <v>897.2713</v>
      </c>
      <c r="AN8" s="36">
        <v>897.2713</v>
      </c>
      <c r="AO8" s="36">
        <v>897.2713</v>
      </c>
      <c r="AP8" s="36">
        <v>897.2713</v>
      </c>
      <c r="AQ8" s="36">
        <v>897.2713</v>
      </c>
      <c r="AR8" s="36">
        <v>897.2713</v>
      </c>
      <c r="AS8" s="36">
        <v>897.2713</v>
      </c>
      <c r="AT8" s="36">
        <v>897.2713</v>
      </c>
      <c r="AU8" s="36">
        <v>897.2713</v>
      </c>
      <c r="AV8" s="36">
        <v>897.2713</v>
      </c>
      <c r="AW8" s="36">
        <v>897.2713</v>
      </c>
      <c r="AX8" s="36">
        <v>897.2713</v>
      </c>
      <c r="AY8" s="36">
        <v>897.2713</v>
      </c>
    </row>
    <row r="9" spans="2:51" ht="17" customHeight="1" x14ac:dyDescent="0.45">
      <c r="B9" s="8" t="s">
        <v>38</v>
      </c>
      <c r="C9" s="30" t="s">
        <v>5</v>
      </c>
      <c r="D9" s="17" t="str">
        <f>IF('TECHNOLOGY REGISTER'!B61="","",'TECHNOLOGY REGISTER'!B61)</f>
        <v>PWRGEO</v>
      </c>
      <c r="E9" s="24" t="s">
        <v>100</v>
      </c>
      <c r="F9" s="37">
        <v>278.24730000000005</v>
      </c>
      <c r="G9" s="37">
        <v>544.25279999999998</v>
      </c>
      <c r="H9" s="37">
        <v>403.99560000000002</v>
      </c>
      <c r="I9" s="37">
        <v>331.83539999999999</v>
      </c>
      <c r="J9" s="37">
        <v>1158.2438999999999</v>
      </c>
      <c r="K9" s="37">
        <v>217.36670000000001</v>
      </c>
      <c r="L9" s="37">
        <v>529.49990000000003</v>
      </c>
      <c r="M9" s="37">
        <v>212.75110000000001</v>
      </c>
      <c r="N9" s="37">
        <v>163.4556</v>
      </c>
      <c r="O9" s="37">
        <v>599.66459999999995</v>
      </c>
      <c r="P9" s="37">
        <v>313.40140000000002</v>
      </c>
      <c r="Q9" s="37">
        <v>737.85129999999992</v>
      </c>
      <c r="R9" s="37">
        <v>628.08510000000001</v>
      </c>
      <c r="S9" s="37">
        <v>561.84079999999994</v>
      </c>
      <c r="T9" s="37">
        <v>1012.8712</v>
      </c>
      <c r="U9" s="37">
        <v>1488.0749000000001</v>
      </c>
      <c r="V9" s="37">
        <v>1011.1725</v>
      </c>
      <c r="W9" s="37">
        <v>435.88159999999999</v>
      </c>
      <c r="X9" s="37">
        <v>435.88159999999999</v>
      </c>
      <c r="Y9" s="37">
        <v>490.36680000000001</v>
      </c>
      <c r="Z9" s="37">
        <v>544.85199999999998</v>
      </c>
      <c r="AA9" s="37">
        <v>599.33720000000005</v>
      </c>
      <c r="AB9" s="37">
        <v>653.82240000000002</v>
      </c>
      <c r="AC9" s="37">
        <v>708.30759999999998</v>
      </c>
      <c r="AD9" s="37">
        <v>817.27800000000002</v>
      </c>
      <c r="AE9" s="37">
        <v>1007.6455</v>
      </c>
      <c r="AF9" s="37">
        <v>1089.1048000000001</v>
      </c>
      <c r="AG9" s="37">
        <v>948.84760000000006</v>
      </c>
      <c r="AH9" s="37">
        <v>876.68740000000003</v>
      </c>
      <c r="AI9" s="37">
        <v>1703.0958999999998</v>
      </c>
      <c r="AJ9" s="37">
        <v>762.21870000000001</v>
      </c>
      <c r="AK9" s="37">
        <v>1074.3518999999999</v>
      </c>
      <c r="AL9" s="37">
        <v>757.60310000000004</v>
      </c>
      <c r="AM9" s="37">
        <v>708.30759999999998</v>
      </c>
      <c r="AN9" s="37">
        <v>1144.5165999999999</v>
      </c>
      <c r="AO9" s="37">
        <v>858.25340000000006</v>
      </c>
      <c r="AP9" s="37">
        <v>1282.7032999999999</v>
      </c>
      <c r="AQ9" s="37">
        <v>1172.9371000000001</v>
      </c>
      <c r="AR9" s="37">
        <v>1106.6928</v>
      </c>
      <c r="AS9" s="37">
        <v>1557.7231999999999</v>
      </c>
      <c r="AT9" s="37">
        <v>2032.9268999999999</v>
      </c>
      <c r="AU9" s="37">
        <v>1556.0245</v>
      </c>
      <c r="AV9" s="37">
        <v>980.73360000000002</v>
      </c>
      <c r="AW9" s="37">
        <v>980.73360000000002</v>
      </c>
      <c r="AX9" s="37">
        <v>1035.2188000000001</v>
      </c>
      <c r="AY9" s="37">
        <v>1089.704</v>
      </c>
    </row>
    <row r="10" spans="2:51" ht="17" customHeight="1" x14ac:dyDescent="0.45">
      <c r="B10" s="33" t="s">
        <v>38</v>
      </c>
      <c r="C10" s="29" t="s">
        <v>5</v>
      </c>
      <c r="D10" s="19" t="str">
        <f>IF('TECHNOLOGY REGISTER'!B62="","",'TECHNOLOGY REGISTER'!B62)</f>
        <v>PWRHYD</v>
      </c>
      <c r="E10" s="32" t="s">
        <v>100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>
        <v>0</v>
      </c>
      <c r="V10" s="36">
        <v>0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36">
        <v>0</v>
      </c>
      <c r="AS10" s="36">
        <v>0</v>
      </c>
      <c r="AT10" s="36">
        <v>0</v>
      </c>
      <c r="AU10" s="36">
        <v>0</v>
      </c>
      <c r="AV10" s="36">
        <v>0</v>
      </c>
      <c r="AW10" s="36">
        <v>0</v>
      </c>
      <c r="AX10" s="36">
        <v>0</v>
      </c>
      <c r="AY10" s="36">
        <v>0</v>
      </c>
    </row>
    <row r="11" spans="2:51" ht="17" customHeight="1" x14ac:dyDescent="0.45">
      <c r="B11" s="8" t="s">
        <v>38</v>
      </c>
      <c r="C11" s="30" t="s">
        <v>5</v>
      </c>
      <c r="D11" s="17" t="str">
        <f>IF('TECHNOLOGY REGISTER'!B63="","",'TECHNOLOGY REGISTER'!B63)</f>
        <v>PWRNGS</v>
      </c>
      <c r="E11" s="24" t="s">
        <v>100</v>
      </c>
      <c r="F11" s="37">
        <v>0</v>
      </c>
      <c r="G11" s="37">
        <v>0</v>
      </c>
      <c r="H11" s="37">
        <v>83.003699999999995</v>
      </c>
      <c r="I11" s="37">
        <v>19.853100000000001</v>
      </c>
      <c r="J11" s="37">
        <v>0</v>
      </c>
      <c r="K11" s="37">
        <v>58.285499999999999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  <c r="AV11" s="37">
        <v>0</v>
      </c>
      <c r="AW11" s="37">
        <v>0</v>
      </c>
      <c r="AX11" s="37">
        <v>0</v>
      </c>
      <c r="AY11" s="37">
        <v>0</v>
      </c>
    </row>
    <row r="12" spans="2:51" ht="17" customHeight="1" x14ac:dyDescent="0.45">
      <c r="B12" s="33" t="s">
        <v>38</v>
      </c>
      <c r="C12" s="29" t="s">
        <v>5</v>
      </c>
      <c r="D12" s="19" t="str">
        <f>IF('TECHNOLOGY REGISTER'!B64="","",'TECHNOLOGY REGISTER'!B64)</f>
        <v>PWRPHS</v>
      </c>
      <c r="E12" s="32" t="s">
        <v>100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251.2396</v>
      </c>
      <c r="P12" s="36">
        <v>211.97840000000002</v>
      </c>
      <c r="Q12" s="36">
        <v>141.1703</v>
      </c>
      <c r="R12" s="36">
        <v>79.286799999999999</v>
      </c>
      <c r="S12" s="36">
        <v>0</v>
      </c>
      <c r="T12" s="36">
        <v>0</v>
      </c>
      <c r="U12" s="36">
        <v>0</v>
      </c>
      <c r="V12" s="36">
        <v>0</v>
      </c>
      <c r="W12" s="36">
        <v>0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0</v>
      </c>
      <c r="AW12" s="36">
        <v>0</v>
      </c>
      <c r="AX12" s="36">
        <v>0</v>
      </c>
      <c r="AY12" s="36">
        <v>0</v>
      </c>
    </row>
    <row r="13" spans="2:51" ht="17" customHeight="1" x14ac:dyDescent="0.45">
      <c r="B13" s="8" t="s">
        <v>38</v>
      </c>
      <c r="C13" s="30" t="s">
        <v>5</v>
      </c>
      <c r="D13" s="17" t="str">
        <f>IF('TECHNOLOGY REGISTER'!B65="","",'TECHNOLOGY REGISTER'!B65)</f>
        <v>PWRSOL</v>
      </c>
      <c r="E13" s="24" t="s">
        <v>100</v>
      </c>
      <c r="F13" s="37">
        <v>0</v>
      </c>
      <c r="G13" s="37">
        <v>41.154000000000003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110.3518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70.561300000000003</v>
      </c>
      <c r="AF13" s="37">
        <v>218.37479999999999</v>
      </c>
      <c r="AG13" s="37">
        <v>198.4828</v>
      </c>
      <c r="AH13" s="37">
        <v>206.02189999999999</v>
      </c>
      <c r="AI13" s="37">
        <v>23.941500000000001</v>
      </c>
      <c r="AJ13" s="37">
        <v>63.821399999999997</v>
      </c>
      <c r="AK13" s="37">
        <v>87.122100000000003</v>
      </c>
      <c r="AL13" s="37">
        <v>15.0672</v>
      </c>
      <c r="AM13" s="37">
        <v>14.5138</v>
      </c>
      <c r="AN13" s="37">
        <v>20.973199999999999</v>
      </c>
      <c r="AO13" s="37">
        <v>3.9983</v>
      </c>
      <c r="AP13" s="37">
        <v>124.9059</v>
      </c>
      <c r="AQ13" s="37">
        <v>17.169699999999999</v>
      </c>
      <c r="AR13" s="37">
        <v>19.916599999999999</v>
      </c>
      <c r="AS13" s="37">
        <v>18.860099999999999</v>
      </c>
      <c r="AT13" s="37">
        <v>20.8675</v>
      </c>
      <c r="AU13" s="37">
        <v>20.973199999999999</v>
      </c>
      <c r="AV13" s="37">
        <v>20.973199999999999</v>
      </c>
      <c r="AW13" s="37">
        <v>20.973199999999999</v>
      </c>
      <c r="AX13" s="37">
        <v>20.973199999999999</v>
      </c>
      <c r="AY13" s="37">
        <v>91.849100000000007</v>
      </c>
    </row>
    <row r="14" spans="2:51" ht="17" customHeight="1" x14ac:dyDescent="0.45">
      <c r="B14" s="33" t="s">
        <v>38</v>
      </c>
      <c r="C14" s="29" t="s">
        <v>5</v>
      </c>
      <c r="D14" s="19" t="str">
        <f>IF('TECHNOLOGY REGISTER'!B66="","",'TECHNOLOGY REGISTER'!B66)</f>
        <v>PWRTRN</v>
      </c>
      <c r="E14" s="32" t="s">
        <v>100</v>
      </c>
      <c r="F14" s="36">
        <v>29.242000000000001</v>
      </c>
      <c r="G14" s="36">
        <v>25.7349</v>
      </c>
      <c r="H14" s="36">
        <v>48.560299999999998</v>
      </c>
      <c r="I14" s="36">
        <v>53.113199999999999</v>
      </c>
      <c r="J14" s="36">
        <v>59.975700000000003</v>
      </c>
      <c r="K14" s="36">
        <v>58.653599999999997</v>
      </c>
      <c r="L14" s="36">
        <v>56.011000000000003</v>
      </c>
      <c r="M14" s="36">
        <v>64.762</v>
      </c>
      <c r="N14" s="36">
        <v>62.931399999999996</v>
      </c>
      <c r="O14" s="36">
        <v>68.7988</v>
      </c>
      <c r="P14" s="36">
        <v>71.349999999999994</v>
      </c>
      <c r="Q14" s="36">
        <v>73.215599999999995</v>
      </c>
      <c r="R14" s="36">
        <v>87.906400000000005</v>
      </c>
      <c r="S14" s="36">
        <v>91.569699999999997</v>
      </c>
      <c r="T14" s="36">
        <v>96.819100000000006</v>
      </c>
      <c r="U14" s="36">
        <v>102.651</v>
      </c>
      <c r="V14" s="36">
        <v>108.1555</v>
      </c>
      <c r="W14" s="36">
        <v>111.93980000000001</v>
      </c>
      <c r="X14" s="36">
        <v>119.3841</v>
      </c>
      <c r="Y14" s="36">
        <v>125.7539</v>
      </c>
      <c r="Z14" s="36">
        <v>132.95140000000001</v>
      </c>
      <c r="AA14" s="36">
        <v>140.30500000000001</v>
      </c>
      <c r="AB14" s="36">
        <v>147.78460000000001</v>
      </c>
      <c r="AC14" s="36">
        <v>156.25720000000001</v>
      </c>
      <c r="AD14" s="36">
        <v>164.8982</v>
      </c>
      <c r="AE14" s="36">
        <v>173.66370000000001</v>
      </c>
      <c r="AF14" s="36">
        <v>136.8356</v>
      </c>
      <c r="AG14" s="36">
        <v>136.8356</v>
      </c>
      <c r="AH14" s="36">
        <v>136.8356</v>
      </c>
      <c r="AI14" s="36">
        <v>136.8356</v>
      </c>
      <c r="AJ14" s="36">
        <v>136.8356</v>
      </c>
      <c r="AK14" s="36">
        <v>136.8356</v>
      </c>
      <c r="AL14" s="36">
        <v>136.8356</v>
      </c>
      <c r="AM14" s="36">
        <v>136.8356</v>
      </c>
      <c r="AN14" s="36">
        <v>136.8356</v>
      </c>
      <c r="AO14" s="36">
        <v>136.8356</v>
      </c>
      <c r="AP14" s="36">
        <v>136.8356</v>
      </c>
      <c r="AQ14" s="36">
        <v>136.8356</v>
      </c>
      <c r="AR14" s="36">
        <v>136.8356</v>
      </c>
      <c r="AS14" s="36">
        <v>136.8356</v>
      </c>
      <c r="AT14" s="36">
        <v>136.8356</v>
      </c>
      <c r="AU14" s="36">
        <v>136.8356</v>
      </c>
      <c r="AV14" s="36">
        <v>136.8356</v>
      </c>
      <c r="AW14" s="36">
        <v>136.8356</v>
      </c>
      <c r="AX14" s="36">
        <v>274.9511</v>
      </c>
      <c r="AY14" s="36">
        <v>149.38999999999999</v>
      </c>
    </row>
    <row r="15" spans="2:51" ht="17" customHeight="1" x14ac:dyDescent="0.45">
      <c r="B15" s="8" t="s">
        <v>38</v>
      </c>
      <c r="C15" s="30" t="s">
        <v>5</v>
      </c>
      <c r="D15" s="17" t="str">
        <f>IF('TECHNOLOGY REGISTER'!B67="","",'TECHNOLOGY REGISTER'!B67)</f>
        <v>PWRWND</v>
      </c>
      <c r="E15" s="24" t="s">
        <v>100</v>
      </c>
      <c r="F15" s="37">
        <v>19.0608</v>
      </c>
      <c r="G15" s="37">
        <v>86.871499999999997</v>
      </c>
      <c r="H15" s="37">
        <v>74.468299999999999</v>
      </c>
      <c r="I15" s="37">
        <v>170.52600000000001</v>
      </c>
      <c r="J15" s="37">
        <v>0</v>
      </c>
      <c r="K15" s="37">
        <v>426.06470000000002</v>
      </c>
      <c r="L15" s="37">
        <v>0</v>
      </c>
      <c r="M15" s="37">
        <v>442.69909999999999</v>
      </c>
      <c r="N15" s="37">
        <v>596.6576</v>
      </c>
      <c r="O15" s="37">
        <v>0</v>
      </c>
      <c r="P15" s="37">
        <v>435.42489999999998</v>
      </c>
      <c r="Q15" s="37">
        <v>0</v>
      </c>
      <c r="R15" s="37">
        <v>157.82919999999999</v>
      </c>
      <c r="S15" s="37">
        <v>1052.1194</v>
      </c>
      <c r="T15" s="37">
        <v>0</v>
      </c>
      <c r="U15" s="37">
        <v>0</v>
      </c>
      <c r="V15" s="37">
        <v>956.11609999999996</v>
      </c>
      <c r="W15" s="37">
        <v>1023.2414</v>
      </c>
      <c r="X15" s="37">
        <v>1153.4401</v>
      </c>
      <c r="Y15" s="37">
        <v>876.85069999999996</v>
      </c>
      <c r="Z15" s="37">
        <v>1580.9829</v>
      </c>
      <c r="AA15" s="37">
        <v>1012.8425999999999</v>
      </c>
      <c r="AB15" s="37">
        <v>1421.1332</v>
      </c>
      <c r="AC15" s="37">
        <v>1309.4591999999998</v>
      </c>
      <c r="AD15" s="37">
        <v>932.86249999999995</v>
      </c>
      <c r="AE15" s="37">
        <v>1870.4236000000001</v>
      </c>
      <c r="AF15" s="37">
        <v>632.12840000000006</v>
      </c>
      <c r="AG15" s="37">
        <v>1024.8539000000001</v>
      </c>
      <c r="AH15" s="37">
        <v>1057.6007</v>
      </c>
      <c r="AI15" s="37">
        <v>770.17070000000001</v>
      </c>
      <c r="AJ15" s="37">
        <v>1132.069</v>
      </c>
      <c r="AK15" s="37">
        <v>795.10299999999995</v>
      </c>
      <c r="AL15" s="37">
        <v>1000.0284</v>
      </c>
      <c r="AM15" s="37">
        <v>1890.4747</v>
      </c>
      <c r="AN15" s="37">
        <v>839.66010000000006</v>
      </c>
      <c r="AO15" s="37">
        <v>858.68780000000004</v>
      </c>
      <c r="AP15" s="37">
        <v>1863.2175999999999</v>
      </c>
      <c r="AQ15" s="37">
        <v>1867.1649</v>
      </c>
      <c r="AR15" s="37">
        <v>1994.2845</v>
      </c>
      <c r="AS15" s="37">
        <v>1718.8794</v>
      </c>
      <c r="AT15" s="37">
        <v>2420.7613999999999</v>
      </c>
      <c r="AU15" s="37">
        <v>1852.5027</v>
      </c>
      <c r="AV15" s="37">
        <v>2260.7932999999998</v>
      </c>
      <c r="AW15" s="37">
        <v>2149.1192999999998</v>
      </c>
      <c r="AX15" s="37">
        <v>1772.5226</v>
      </c>
      <c r="AY15" s="37">
        <v>2705.9398999999999</v>
      </c>
    </row>
    <row r="16" spans="2:51" ht="17" customHeight="1" x14ac:dyDescent="0.45">
      <c r="B16" s="33" t="s">
        <v>38</v>
      </c>
      <c r="C16" s="29" t="s">
        <v>5</v>
      </c>
      <c r="D16" s="19" t="str">
        <f>IF('TECHNOLOGY REGISTER'!B68="","",'TECHNOLOGY REGISTER'!B68)</f>
        <v>PWRHFO</v>
      </c>
      <c r="E16" s="32" t="s">
        <v>100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  <c r="R16" s="36">
        <v>0</v>
      </c>
      <c r="S16" s="36">
        <v>0</v>
      </c>
      <c r="T16" s="36">
        <v>0</v>
      </c>
      <c r="U16" s="36">
        <v>0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6">
        <v>0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36">
        <v>0</v>
      </c>
      <c r="AS16" s="36">
        <v>0</v>
      </c>
      <c r="AT16" s="36">
        <v>0</v>
      </c>
      <c r="AU16" s="36">
        <v>0</v>
      </c>
      <c r="AV16" s="36">
        <v>0</v>
      </c>
      <c r="AW16" s="36">
        <v>0</v>
      </c>
      <c r="AX16" s="36">
        <v>0</v>
      </c>
      <c r="AY16" s="36">
        <v>0</v>
      </c>
    </row>
    <row r="17" spans="2:51" ht="17" customHeight="1" x14ac:dyDescent="0.45">
      <c r="B17" s="8" t="s">
        <v>38</v>
      </c>
      <c r="C17" s="30" t="s">
        <v>5</v>
      </c>
      <c r="D17" s="17" t="str">
        <f>IF('TECHNOLOGY REGISTER'!B69="","",'TECHNOLOGY REGISTER'!B69)</f>
        <v>PWRIMP</v>
      </c>
      <c r="E17" s="24" t="s">
        <v>100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0</v>
      </c>
      <c r="AT17" s="37">
        <v>0</v>
      </c>
      <c r="AU17" s="37">
        <v>0</v>
      </c>
      <c r="AV17" s="37">
        <v>0</v>
      </c>
      <c r="AW17" s="37">
        <v>0</v>
      </c>
      <c r="AX17" s="37">
        <v>0</v>
      </c>
      <c r="AY17" s="37">
        <v>0</v>
      </c>
    </row>
    <row r="18" spans="2:51" ht="17" customHeight="1" x14ac:dyDescent="0.45">
      <c r="B18" s="33" t="s">
        <v>38</v>
      </c>
      <c r="C18" s="29" t="s">
        <v>5</v>
      </c>
      <c r="D18" s="19" t="str">
        <f>IF('TECHNOLOGY REGISTER'!B70="","",'TECHNOLOGY REGISTER'!B70)</f>
        <v>PWRURN</v>
      </c>
      <c r="E18" s="32" t="s">
        <v>100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0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D18" s="36">
        <v>0</v>
      </c>
      <c r="AE18" s="36">
        <v>0</v>
      </c>
      <c r="AF18" s="36">
        <v>0</v>
      </c>
      <c r="AG18" s="36">
        <v>0</v>
      </c>
      <c r="AH18" s="36">
        <v>82.478899999999996</v>
      </c>
      <c r="AI18" s="36">
        <v>216.51509999999999</v>
      </c>
      <c r="AJ18" s="36">
        <v>193.4906</v>
      </c>
      <c r="AK18" s="36">
        <v>58.627299999999998</v>
      </c>
      <c r="AL18" s="36">
        <v>176.16909999999999</v>
      </c>
      <c r="AM18" s="36">
        <v>171.6943</v>
      </c>
      <c r="AN18" s="36">
        <v>167.0805</v>
      </c>
      <c r="AO18" s="36">
        <v>161.11089999999999</v>
      </c>
      <c r="AP18" s="36">
        <v>74.842299999999994</v>
      </c>
      <c r="AQ18" s="36">
        <v>165.74289999999999</v>
      </c>
      <c r="AR18" s="36">
        <v>166.709</v>
      </c>
      <c r="AS18" s="36">
        <v>166.3374</v>
      </c>
      <c r="AT18" s="36">
        <v>167.04339999999999</v>
      </c>
      <c r="AU18" s="36">
        <v>167.0805</v>
      </c>
      <c r="AV18" s="36">
        <v>167.0805</v>
      </c>
      <c r="AW18" s="36">
        <v>167.0805</v>
      </c>
      <c r="AX18" s="36">
        <v>167.0805</v>
      </c>
      <c r="AY18" s="36">
        <v>166.0471</v>
      </c>
    </row>
    <row r="19" spans="2:51" ht="17" customHeight="1" x14ac:dyDescent="0.45">
      <c r="B19" s="8" t="s">
        <v>38</v>
      </c>
      <c r="C19" s="30" t="s">
        <v>5</v>
      </c>
      <c r="D19" s="17" t="str">
        <f>IF('TECHNOLOGY REGISTER'!B71="","",'TECHNOLOGY REGISTER'!B71)</f>
        <v>PWRLFO</v>
      </c>
      <c r="E19" s="24" t="s">
        <v>100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0</v>
      </c>
      <c r="AU19" s="37">
        <v>0</v>
      </c>
      <c r="AV19" s="37">
        <v>0</v>
      </c>
      <c r="AW19" s="37">
        <v>0</v>
      </c>
      <c r="AX19" s="37">
        <v>0</v>
      </c>
      <c r="AY19" s="37">
        <v>0</v>
      </c>
    </row>
    <row r="20" spans="2:51" ht="17" customHeight="1" x14ac:dyDescent="0.45">
      <c r="B20" s="33" t="s">
        <v>38</v>
      </c>
      <c r="C20" s="29" t="s">
        <v>5</v>
      </c>
      <c r="D20" s="19" t="str">
        <f>IF('TECHNOLOGY REGISTER'!B72="","",'TECHNOLOGY REGISTER'!B72)</f>
        <v>PWRHYD16</v>
      </c>
      <c r="E20" s="32" t="s">
        <v>100</v>
      </c>
      <c r="F20" s="36">
        <v>1.0452999999999999</v>
      </c>
      <c r="G20" s="36">
        <v>86.409599999999998</v>
      </c>
      <c r="H20" s="36">
        <v>38.326900000000002</v>
      </c>
      <c r="I20" s="36">
        <v>10.8012</v>
      </c>
      <c r="J20" s="36">
        <v>25.7835</v>
      </c>
      <c r="K20" s="36">
        <v>127.5239</v>
      </c>
      <c r="L20" s="36">
        <v>97.907700000000006</v>
      </c>
      <c r="M20" s="36">
        <v>63.413499999999999</v>
      </c>
      <c r="N20" s="36">
        <v>112.1932</v>
      </c>
      <c r="O20" s="36">
        <v>87.454899999999995</v>
      </c>
      <c r="P20" s="36">
        <v>110.45099999999999</v>
      </c>
      <c r="Q20" s="36">
        <v>97.210899999999995</v>
      </c>
      <c r="R20" s="36">
        <v>12.5433</v>
      </c>
      <c r="S20" s="36">
        <v>13.5886</v>
      </c>
      <c r="T20" s="36">
        <v>14.633900000000001</v>
      </c>
      <c r="U20" s="36">
        <v>16.376000000000001</v>
      </c>
      <c r="V20" s="36">
        <v>17.7697</v>
      </c>
      <c r="W20" s="36">
        <v>19.511900000000001</v>
      </c>
      <c r="X20" s="36">
        <v>21.254000000000001</v>
      </c>
      <c r="Y20" s="36">
        <v>22.996099999999998</v>
      </c>
      <c r="Z20" s="36">
        <v>25.435099999999998</v>
      </c>
      <c r="AA20" s="36">
        <v>27.874099999999999</v>
      </c>
      <c r="AB20" s="36">
        <v>30.313099999999999</v>
      </c>
      <c r="AC20" s="36">
        <v>33.100499999999997</v>
      </c>
      <c r="AD20" s="36">
        <v>36.2363</v>
      </c>
      <c r="AE20" s="36">
        <v>39.720599999999997</v>
      </c>
      <c r="AF20" s="36">
        <v>26.480399999999999</v>
      </c>
      <c r="AG20" s="36">
        <v>26.480399999999999</v>
      </c>
      <c r="AH20" s="36">
        <v>26.480399999999999</v>
      </c>
      <c r="AI20" s="36">
        <v>26.480399999999999</v>
      </c>
      <c r="AJ20" s="36">
        <v>26.480399999999999</v>
      </c>
      <c r="AK20" s="36">
        <v>26.480399999999999</v>
      </c>
      <c r="AL20" s="36">
        <v>26.480399999999999</v>
      </c>
      <c r="AM20" s="36">
        <v>26.480399999999999</v>
      </c>
      <c r="AN20" s="36">
        <v>26.480399999999999</v>
      </c>
      <c r="AO20" s="36">
        <v>26.480399999999999</v>
      </c>
      <c r="AP20" s="36">
        <v>26.480399999999999</v>
      </c>
      <c r="AQ20" s="36">
        <v>26.480399999999999</v>
      </c>
      <c r="AR20" s="36">
        <v>51.915500000000002</v>
      </c>
      <c r="AS20" s="36">
        <v>35.191000000000003</v>
      </c>
      <c r="AT20" s="36">
        <v>27.525700000000001</v>
      </c>
      <c r="AU20" s="36">
        <v>112.89</v>
      </c>
      <c r="AV20" s="36">
        <v>64.807199999999995</v>
      </c>
      <c r="AW20" s="36">
        <v>37.281599999999997</v>
      </c>
      <c r="AX20" s="36">
        <v>52.2639</v>
      </c>
      <c r="AY20" s="36">
        <v>154.0043</v>
      </c>
    </row>
    <row r="21" spans="2:51" ht="15" customHeight="1" x14ac:dyDescent="0.45">
      <c r="B21" s="8" t="s">
        <v>38</v>
      </c>
      <c r="C21" s="30" t="s">
        <v>5</v>
      </c>
      <c r="D21" s="17" t="str">
        <f>IF('TECHNOLOGY REGISTER'!B73="","",'TECHNOLOGY REGISTER'!B73)</f>
        <v/>
      </c>
      <c r="E21" s="24" t="s">
        <v>100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</row>
    <row r="22" spans="2:51" ht="15" customHeight="1" x14ac:dyDescent="0.45">
      <c r="B22" s="33" t="s">
        <v>38</v>
      </c>
      <c r="C22" s="29" t="s">
        <v>5</v>
      </c>
      <c r="D22" s="19" t="str">
        <f>IF('TECHNOLOGY REGISTER'!B74="","",'TECHNOLOGY REGISTER'!B74)</f>
        <v/>
      </c>
      <c r="E22" s="32" t="s">
        <v>100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</row>
    <row r="23" spans="2:51" ht="15" customHeight="1" x14ac:dyDescent="0.45">
      <c r="B23" s="8" t="s">
        <v>38</v>
      </c>
      <c r="C23" s="30" t="s">
        <v>5</v>
      </c>
      <c r="D23" s="17" t="str">
        <f>IF('TECHNOLOGY REGISTER'!B75="","",'TECHNOLOGY REGISTER'!B75)</f>
        <v/>
      </c>
      <c r="E23" s="24" t="s">
        <v>100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</row>
    <row r="24" spans="2:51" ht="15" customHeight="1" x14ac:dyDescent="0.45">
      <c r="B24" s="33" t="s">
        <v>38</v>
      </c>
      <c r="C24" s="29" t="s">
        <v>5</v>
      </c>
      <c r="D24" s="19" t="str">
        <f>IF('TECHNOLOGY REGISTER'!B76="","",'TECHNOLOGY REGISTER'!B76)</f>
        <v/>
      </c>
      <c r="E24" s="32" t="s">
        <v>100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</row>
    <row r="25" spans="2:51" ht="15" customHeight="1" x14ac:dyDescent="0.45">
      <c r="B25" s="8" t="s">
        <v>38</v>
      </c>
      <c r="C25" s="30" t="s">
        <v>5</v>
      </c>
      <c r="D25" s="17" t="str">
        <f>IF('TECHNOLOGY REGISTER'!B77="","",'TECHNOLOGY REGISTER'!B77)</f>
        <v/>
      </c>
      <c r="E25" s="24" t="s">
        <v>100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</row>
    <row r="26" spans="2:51" ht="15" customHeight="1" x14ac:dyDescent="0.45">
      <c r="B26" s="33" t="s">
        <v>38</v>
      </c>
      <c r="C26" s="29" t="s">
        <v>5</v>
      </c>
      <c r="D26" s="19" t="str">
        <f>IF('TECHNOLOGY REGISTER'!B78="","",'TECHNOLOGY REGISTER'!B78)</f>
        <v/>
      </c>
      <c r="E26" s="32" t="s">
        <v>100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</row>
    <row r="27" spans="2:51" ht="15" customHeight="1" x14ac:dyDescent="0.45">
      <c r="B27" s="8" t="s">
        <v>38</v>
      </c>
      <c r="C27" s="30" t="s">
        <v>5</v>
      </c>
      <c r="D27" s="17" t="str">
        <f>IF('TECHNOLOGY REGISTER'!B79="","",'TECHNOLOGY REGISTER'!B79)</f>
        <v/>
      </c>
      <c r="E27" s="24" t="s">
        <v>100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</row>
    <row r="28" spans="2:51" ht="15" customHeight="1" x14ac:dyDescent="0.45">
      <c r="B28" s="33" t="s">
        <v>38</v>
      </c>
      <c r="C28" s="29" t="s">
        <v>5</v>
      </c>
      <c r="D28" s="19" t="str">
        <f>IF('TECHNOLOGY REGISTER'!B80="","",'TECHNOLOGY REGISTER'!B80)</f>
        <v/>
      </c>
      <c r="E28" s="32" t="s">
        <v>100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</row>
    <row r="29" spans="2:51" ht="15" customHeight="1" x14ac:dyDescent="0.45">
      <c r="B29" s="8" t="s">
        <v>38</v>
      </c>
      <c r="C29" s="30" t="s">
        <v>5</v>
      </c>
      <c r="D29" s="17" t="str">
        <f>IF('TECHNOLOGY REGISTER'!B81="","",'TECHNOLOGY REGISTER'!B81)</f>
        <v/>
      </c>
      <c r="E29" s="24" t="s">
        <v>100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</row>
    <row r="30" spans="2:51" ht="15" customHeight="1" x14ac:dyDescent="0.45">
      <c r="B30" s="33" t="s">
        <v>38</v>
      </c>
      <c r="C30" s="29" t="s">
        <v>5</v>
      </c>
      <c r="D30" s="19" t="str">
        <f>IF('TECHNOLOGY REGISTER'!B82="","",'TECHNOLOGY REGISTER'!B82)</f>
        <v/>
      </c>
      <c r="E30" s="32" t="s">
        <v>100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</row>
    <row r="31" spans="2:51" ht="15" customHeight="1" x14ac:dyDescent="0.45">
      <c r="B31" s="8" t="s">
        <v>38</v>
      </c>
      <c r="C31" s="30" t="s">
        <v>5</v>
      </c>
      <c r="D31" s="17" t="str">
        <f>IF('TECHNOLOGY REGISTER'!B83="","",'TECHNOLOGY REGISTER'!B83)</f>
        <v/>
      </c>
      <c r="E31" s="24" t="s">
        <v>100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</row>
    <row r="32" spans="2:51" ht="15" customHeight="1" x14ac:dyDescent="0.45">
      <c r="B32" s="33" t="s">
        <v>38</v>
      </c>
      <c r="C32" s="29" t="s">
        <v>5</v>
      </c>
      <c r="D32" s="19" t="str">
        <f>IF('TECHNOLOGY REGISTER'!B84="","",'TECHNOLOGY REGISTER'!B84)</f>
        <v/>
      </c>
      <c r="E32" s="32" t="s">
        <v>100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</row>
    <row r="33" spans="2:51" ht="15" customHeight="1" x14ac:dyDescent="0.45">
      <c r="B33" s="8" t="s">
        <v>38</v>
      </c>
      <c r="C33" s="30" t="s">
        <v>5</v>
      </c>
      <c r="D33" s="17" t="str">
        <f>IF('TECHNOLOGY REGISTER'!B85="","",'TECHNOLOGY REGISTER'!B85)</f>
        <v/>
      </c>
      <c r="E33" s="24" t="s">
        <v>100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</row>
    <row r="34" spans="2:51" ht="15" customHeight="1" x14ac:dyDescent="0.45">
      <c r="B34" s="33" t="s">
        <v>38</v>
      </c>
      <c r="C34" s="29" t="s">
        <v>5</v>
      </c>
      <c r="D34" s="19" t="str">
        <f>IF('TECHNOLOGY REGISTER'!B86="","",'TECHNOLOGY REGISTER'!B86)</f>
        <v/>
      </c>
      <c r="E34" s="32" t="s">
        <v>100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</row>
    <row r="35" spans="2:51" ht="15" customHeight="1" x14ac:dyDescent="0.45">
      <c r="B35" s="8" t="s">
        <v>38</v>
      </c>
      <c r="C35" s="30" t="s">
        <v>5</v>
      </c>
      <c r="D35" s="17" t="str">
        <f>IF('TECHNOLOGY REGISTER'!B87="","",'TECHNOLOGY REGISTER'!B87)</f>
        <v/>
      </c>
      <c r="E35" s="24" t="s">
        <v>100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</row>
    <row r="36" spans="2:51" ht="15" customHeight="1" x14ac:dyDescent="0.45">
      <c r="B36" s="33" t="s">
        <v>38</v>
      </c>
      <c r="C36" s="29" t="s">
        <v>5</v>
      </c>
      <c r="D36" s="19" t="str">
        <f>IF('TECHNOLOGY REGISTER'!B88="","",'TECHNOLOGY REGISTER'!B88)</f>
        <v/>
      </c>
      <c r="E36" s="32" t="s">
        <v>100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</row>
    <row r="37" spans="2:51" ht="15" customHeight="1" x14ac:dyDescent="0.45">
      <c r="B37" s="8" t="s">
        <v>38</v>
      </c>
      <c r="C37" s="30" t="s">
        <v>5</v>
      </c>
      <c r="D37" s="17" t="str">
        <f>IF('TECHNOLOGY REGISTER'!B89="","",'TECHNOLOGY REGISTER'!B89)</f>
        <v/>
      </c>
      <c r="E37" s="24" t="s">
        <v>100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</row>
    <row r="38" spans="2:51" ht="15" customHeight="1" x14ac:dyDescent="0.45">
      <c r="B38" s="33" t="s">
        <v>38</v>
      </c>
      <c r="C38" s="29" t="s">
        <v>5</v>
      </c>
      <c r="D38" s="19" t="str">
        <f>IF('TECHNOLOGY REGISTER'!B90="","",'TECHNOLOGY REGISTER'!B90)</f>
        <v/>
      </c>
      <c r="E38" s="32" t="s">
        <v>100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</row>
    <row r="39" spans="2:51" ht="15" customHeight="1" x14ac:dyDescent="0.45">
      <c r="B39" s="8" t="s">
        <v>38</v>
      </c>
      <c r="C39" s="30" t="s">
        <v>5</v>
      </c>
      <c r="D39" s="17" t="str">
        <f>IF('TECHNOLOGY REGISTER'!B91="","",'TECHNOLOGY REGISTER'!B91)</f>
        <v/>
      </c>
      <c r="E39" s="24" t="s">
        <v>100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</row>
    <row r="40" spans="2:51" ht="15" customHeight="1" x14ac:dyDescent="0.45">
      <c r="B40" s="33" t="s">
        <v>38</v>
      </c>
      <c r="C40" s="29" t="s">
        <v>5</v>
      </c>
      <c r="D40" s="19" t="str">
        <f>IF('TECHNOLOGY REGISTER'!B92="","",'TECHNOLOGY REGISTER'!B92)</f>
        <v/>
      </c>
      <c r="E40" s="32" t="s">
        <v>100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</row>
    <row r="41" spans="2:51" ht="15" customHeight="1" x14ac:dyDescent="0.45">
      <c r="B41" s="8" t="s">
        <v>38</v>
      </c>
      <c r="C41" s="30" t="s">
        <v>5</v>
      </c>
      <c r="D41" s="17" t="str">
        <f>IF('TECHNOLOGY REGISTER'!B93="","",'TECHNOLOGY REGISTER'!B93)</f>
        <v/>
      </c>
      <c r="E41" s="24" t="s">
        <v>100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</row>
    <row r="42" spans="2:51" ht="15" customHeight="1" x14ac:dyDescent="0.45">
      <c r="B42" s="33" t="s">
        <v>38</v>
      </c>
      <c r="C42" s="29" t="s">
        <v>5</v>
      </c>
      <c r="D42" s="19" t="str">
        <f>IF('TECHNOLOGY REGISTER'!B94="","",'TECHNOLOGY REGISTER'!B94)</f>
        <v/>
      </c>
      <c r="E42" s="32" t="s">
        <v>100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</row>
    <row r="43" spans="2:51" ht="15" customHeight="1" x14ac:dyDescent="0.45">
      <c r="B43" s="8" t="s">
        <v>38</v>
      </c>
      <c r="C43" s="30" t="s">
        <v>5</v>
      </c>
      <c r="D43" s="17" t="str">
        <f>IF('TECHNOLOGY REGISTER'!B95="","",'TECHNOLOGY REGISTER'!B95)</f>
        <v/>
      </c>
      <c r="E43" s="24" t="s">
        <v>100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</row>
    <row r="44" spans="2:51" ht="15" customHeight="1" x14ac:dyDescent="0.45">
      <c r="B44" s="33" t="s">
        <v>38</v>
      </c>
      <c r="C44" s="29" t="s">
        <v>5</v>
      </c>
      <c r="D44" s="19" t="str">
        <f>IF('TECHNOLOGY REGISTER'!B96="","",'TECHNOLOGY REGISTER'!B96)</f>
        <v/>
      </c>
      <c r="E44" s="32" t="s">
        <v>100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</row>
    <row r="45" spans="2:51" ht="15" customHeight="1" x14ac:dyDescent="0.45">
      <c r="B45" s="8" t="s">
        <v>38</v>
      </c>
      <c r="C45" s="30" t="s">
        <v>5</v>
      </c>
      <c r="D45" s="17" t="str">
        <f>IF('TECHNOLOGY REGISTER'!B97="","",'TECHNOLOGY REGISTER'!B97)</f>
        <v/>
      </c>
      <c r="E45" s="24" t="s">
        <v>100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</row>
    <row r="46" spans="2:51" ht="15" customHeight="1" x14ac:dyDescent="0.45">
      <c r="B46" s="33" t="s">
        <v>38</v>
      </c>
      <c r="C46" s="29" t="s">
        <v>5</v>
      </c>
      <c r="D46" s="19" t="str">
        <f>IF('TECHNOLOGY REGISTER'!B98="","",'TECHNOLOGY REGISTER'!B98)</f>
        <v/>
      </c>
      <c r="E46" s="32" t="s">
        <v>100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</row>
    <row r="47" spans="2:51" ht="15" customHeight="1" x14ac:dyDescent="0.45">
      <c r="B47" s="8" t="s">
        <v>38</v>
      </c>
      <c r="C47" s="30" t="s">
        <v>5</v>
      </c>
      <c r="D47" s="17" t="str">
        <f>IF('TECHNOLOGY REGISTER'!B99="","",'TECHNOLOGY REGISTER'!B99)</f>
        <v/>
      </c>
      <c r="E47" s="24" t="s">
        <v>100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</row>
    <row r="48" spans="2:51" ht="15" customHeight="1" x14ac:dyDescent="0.45">
      <c r="B48" s="33" t="s">
        <v>38</v>
      </c>
      <c r="C48" s="29" t="s">
        <v>5</v>
      </c>
      <c r="D48" s="19" t="str">
        <f>IF('TECHNOLOGY REGISTER'!B100="","",'TECHNOLOGY REGISTER'!B100)</f>
        <v/>
      </c>
      <c r="E48" s="32" t="s">
        <v>100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</row>
    <row r="49" spans="2:51" ht="15" customHeight="1" x14ac:dyDescent="0.45">
      <c r="B49" s="8" t="s">
        <v>38</v>
      </c>
      <c r="C49" s="30" t="s">
        <v>5</v>
      </c>
      <c r="D49" s="17" t="str">
        <f>IF('TECHNOLOGY REGISTER'!B101="","",'TECHNOLOGY REGISTER'!B101)</f>
        <v/>
      </c>
      <c r="E49" s="24" t="s">
        <v>100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</row>
    <row r="50" spans="2:51" ht="15" customHeight="1" x14ac:dyDescent="0.45">
      <c r="B50" s="33" t="s">
        <v>38</v>
      </c>
      <c r="C50" s="29" t="s">
        <v>5</v>
      </c>
      <c r="D50" s="19" t="str">
        <f>IF('TECHNOLOGY REGISTER'!B102="","",'TECHNOLOGY REGISTER'!B102)</f>
        <v/>
      </c>
      <c r="E50" s="32" t="s">
        <v>100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</row>
    <row r="51" spans="2:51" ht="15" customHeight="1" x14ac:dyDescent="0.45">
      <c r="B51" s="8" t="s">
        <v>38</v>
      </c>
      <c r="C51" s="30" t="s">
        <v>5</v>
      </c>
      <c r="D51" s="17" t="str">
        <f>IF('TECHNOLOGY REGISTER'!B103="","",'TECHNOLOGY REGISTER'!B103)</f>
        <v/>
      </c>
      <c r="E51" s="24" t="s">
        <v>100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</row>
    <row r="52" spans="2:51" ht="15" customHeight="1" x14ac:dyDescent="0.45">
      <c r="B52" s="33" t="s">
        <v>38</v>
      </c>
      <c r="C52" s="29" t="s">
        <v>5</v>
      </c>
      <c r="D52" s="19" t="str">
        <f>IF('TECHNOLOGY REGISTER'!B104="","",'TECHNOLOGY REGISTER'!B104)</f>
        <v/>
      </c>
      <c r="E52" s="32" t="s">
        <v>100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</row>
    <row r="53" spans="2:51" ht="15" customHeight="1" x14ac:dyDescent="0.45">
      <c r="B53" s="8" t="s">
        <v>38</v>
      </c>
      <c r="C53" s="30" t="s">
        <v>5</v>
      </c>
      <c r="D53" s="17" t="str">
        <f>IF('TECHNOLOGY REGISTER'!B105="","",'TECHNOLOGY REGISTER'!B105)</f>
        <v/>
      </c>
      <c r="E53" s="24" t="s">
        <v>100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</row>
    <row r="54" spans="2:51" ht="15" customHeight="1" x14ac:dyDescent="0.45">
      <c r="B54" s="33" t="s">
        <v>38</v>
      </c>
      <c r="C54" s="29" t="s">
        <v>5</v>
      </c>
      <c r="D54" s="19" t="str">
        <f>IF('TECHNOLOGY REGISTER'!B106="","",'TECHNOLOGY REGISTER'!B106)</f>
        <v/>
      </c>
      <c r="E54" s="32" t="s">
        <v>100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</row>
    <row r="55" spans="2:51" ht="15" customHeight="1" thickBot="1" x14ac:dyDescent="0.5">
      <c r="B55" s="8" t="s">
        <v>38</v>
      </c>
      <c r="C55" s="30" t="s">
        <v>5</v>
      </c>
      <c r="D55" s="17" t="str">
        <f>IF('TECHNOLOGY REGISTER'!B107="","",'TECHNOLOGY REGISTER'!B107)</f>
        <v/>
      </c>
      <c r="E55" s="24" t="s">
        <v>100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</row>
    <row r="56" spans="2:51" ht="20" customHeight="1" x14ac:dyDescent="0.45">
      <c r="B56" s="69" t="s">
        <v>116</v>
      </c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</row>
    <row r="57" spans="2:51" ht="17" customHeight="1" x14ac:dyDescent="0.45">
      <c r="B57" s="33" t="s">
        <v>109</v>
      </c>
      <c r="C57" s="29" t="s">
        <v>5</v>
      </c>
      <c r="D57" s="19" t="str">
        <f>IF('TECHNOLOGY REGISTER'!B58="","",'TECHNOLOGY REGISTER'!B58)</f>
        <v>BESS_TECH</v>
      </c>
      <c r="E57" s="32" t="s">
        <v>120</v>
      </c>
      <c r="F57" s="36">
        <v>0.4703</v>
      </c>
      <c r="G57" s="36">
        <v>0.51859999999999995</v>
      </c>
      <c r="H57" s="36">
        <v>0.55310000000000004</v>
      </c>
      <c r="I57" s="36">
        <v>0.54900000000000004</v>
      </c>
      <c r="J57" s="36">
        <v>0.57730000000000004</v>
      </c>
      <c r="K57" s="36">
        <v>0.63</v>
      </c>
      <c r="L57" s="36">
        <v>1.1445000000000001</v>
      </c>
      <c r="M57" s="36">
        <v>1.3177000000000001</v>
      </c>
      <c r="N57" s="36">
        <v>1.3128</v>
      </c>
      <c r="O57" s="36">
        <v>1.7174</v>
      </c>
      <c r="P57" s="36">
        <v>1.4056999999999999</v>
      </c>
      <c r="Q57" s="36">
        <v>1.2258</v>
      </c>
      <c r="R57" s="36">
        <v>1.4450000000000001</v>
      </c>
      <c r="S57" s="36">
        <v>1.286</v>
      </c>
      <c r="T57" s="36">
        <v>1.9897</v>
      </c>
      <c r="U57" s="36">
        <v>1.6456</v>
      </c>
      <c r="V57" s="36">
        <v>2.133</v>
      </c>
      <c r="W57" s="36">
        <v>2.4668999999999999</v>
      </c>
      <c r="X57" s="36">
        <v>2.8582999999999998</v>
      </c>
      <c r="Y57" s="36">
        <v>3.3698999999999999</v>
      </c>
      <c r="Z57" s="36">
        <v>3.8565999999999998</v>
      </c>
      <c r="AA57" s="36">
        <v>4.4016999999999999</v>
      </c>
      <c r="AB57" s="36">
        <v>4.5967000000000002</v>
      </c>
      <c r="AC57" s="36">
        <v>4.6341999999999999</v>
      </c>
      <c r="AD57" s="36">
        <v>4.9793000000000003</v>
      </c>
      <c r="AE57" s="36">
        <v>5.7893999999999997</v>
      </c>
      <c r="AF57" s="36">
        <v>5.8087</v>
      </c>
      <c r="AG57" s="36">
        <v>6.0564</v>
      </c>
      <c r="AH57" s="36">
        <v>7.0198</v>
      </c>
      <c r="AI57" s="36">
        <v>7.2275999999999998</v>
      </c>
      <c r="AJ57" s="36">
        <v>7.6172000000000004</v>
      </c>
      <c r="AK57" s="36">
        <v>8.2527000000000008</v>
      </c>
      <c r="AL57" s="36">
        <v>8.5082000000000004</v>
      </c>
      <c r="AM57" s="36">
        <v>8.7838999999999992</v>
      </c>
      <c r="AN57" s="36">
        <v>9.0474999999999994</v>
      </c>
      <c r="AO57" s="36">
        <v>9.3895999999999997</v>
      </c>
      <c r="AP57" s="36">
        <v>9.7074999999999996</v>
      </c>
      <c r="AQ57" s="36">
        <v>10.015599999999999</v>
      </c>
      <c r="AR57" s="36">
        <v>10.3179</v>
      </c>
      <c r="AS57" s="36">
        <v>10.6289</v>
      </c>
      <c r="AT57" s="36">
        <v>10.953099999999999</v>
      </c>
      <c r="AU57" s="36">
        <v>11.2768</v>
      </c>
      <c r="AV57" s="36">
        <v>11.6005</v>
      </c>
      <c r="AW57" s="36">
        <v>11.9382</v>
      </c>
      <c r="AX57" s="36">
        <v>12.280099999999999</v>
      </c>
      <c r="AY57" s="36">
        <v>12.5998</v>
      </c>
    </row>
    <row r="58" spans="2:51" ht="17" customHeight="1" x14ac:dyDescent="0.45">
      <c r="B58" s="8" t="s">
        <v>109</v>
      </c>
      <c r="C58" s="30" t="s">
        <v>5</v>
      </c>
      <c r="D58" s="17" t="str">
        <f>IF('TECHNOLOGY REGISTER'!B59="","",'TECHNOLOGY REGISTER'!B59)</f>
        <v>PWRBIO</v>
      </c>
      <c r="E58" s="24" t="s">
        <v>120</v>
      </c>
      <c r="F58" s="37">
        <v>5.3600000000000002E-2</v>
      </c>
      <c r="G58" s="37">
        <v>0.21129999999999999</v>
      </c>
      <c r="H58" s="37">
        <v>0.21129999999999999</v>
      </c>
      <c r="I58" s="37">
        <v>0.33729999999999999</v>
      </c>
      <c r="J58" s="37">
        <v>0.33729999999999999</v>
      </c>
      <c r="K58" s="37">
        <v>1.0972999999999999</v>
      </c>
      <c r="L58" s="37">
        <v>1.4125000000000001</v>
      </c>
      <c r="M58" s="37">
        <v>1.5828</v>
      </c>
      <c r="N58" s="37">
        <v>1.077</v>
      </c>
      <c r="O58" s="37">
        <v>1.7246999999999999</v>
      </c>
      <c r="P58" s="37">
        <v>1.7294</v>
      </c>
      <c r="Q58" s="37">
        <v>1.7294</v>
      </c>
      <c r="R58" s="37">
        <v>1.7294</v>
      </c>
      <c r="S58" s="37">
        <v>1.7294</v>
      </c>
      <c r="T58" s="37">
        <v>1.7294</v>
      </c>
      <c r="U58" s="37">
        <v>1.7294</v>
      </c>
      <c r="V58" s="37">
        <v>1.7294</v>
      </c>
      <c r="W58" s="37">
        <v>1.7294</v>
      </c>
      <c r="X58" s="37">
        <v>1.6979</v>
      </c>
      <c r="Y58" s="37">
        <v>1.6979</v>
      </c>
      <c r="Z58" s="37">
        <v>1.6979</v>
      </c>
      <c r="AA58" s="37">
        <v>1.6979</v>
      </c>
      <c r="AB58" s="37">
        <v>1.6979</v>
      </c>
      <c r="AC58" s="37">
        <v>1.6979</v>
      </c>
      <c r="AD58" s="37">
        <v>1.6979</v>
      </c>
      <c r="AE58" s="37">
        <v>0</v>
      </c>
      <c r="AF58" s="37">
        <v>0</v>
      </c>
      <c r="AG58" s="37">
        <v>0</v>
      </c>
      <c r="AH58" s="37">
        <v>0</v>
      </c>
      <c r="AI58" s="37">
        <v>0</v>
      </c>
      <c r="AJ58" s="37">
        <v>0</v>
      </c>
      <c r="AK58" s="37">
        <v>0</v>
      </c>
      <c r="AL58" s="37">
        <v>0</v>
      </c>
      <c r="AM58" s="37">
        <v>0</v>
      </c>
      <c r="AN58" s="37">
        <v>0</v>
      </c>
      <c r="AO58" s="37">
        <v>0</v>
      </c>
      <c r="AP58" s="37">
        <v>0</v>
      </c>
      <c r="AQ58" s="37">
        <v>0</v>
      </c>
      <c r="AR58" s="37">
        <v>0</v>
      </c>
      <c r="AS58" s="37">
        <v>0</v>
      </c>
      <c r="AT58" s="37">
        <v>0</v>
      </c>
      <c r="AU58" s="37">
        <v>0</v>
      </c>
      <c r="AV58" s="37">
        <v>0</v>
      </c>
      <c r="AW58" s="37">
        <v>0</v>
      </c>
      <c r="AX58" s="37">
        <v>0</v>
      </c>
      <c r="AY58" s="37">
        <v>0</v>
      </c>
    </row>
    <row r="59" spans="2:51" ht="17" customHeight="1" x14ac:dyDescent="0.45">
      <c r="B59" s="33" t="s">
        <v>109</v>
      </c>
      <c r="C59" s="29" t="s">
        <v>5</v>
      </c>
      <c r="D59" s="19" t="str">
        <f>IF('TECHNOLOGY REGISTER'!B60="","",'TECHNOLOGY REGISTER'!B60)</f>
        <v>PWRDIST</v>
      </c>
      <c r="E59" s="32" t="s">
        <v>120</v>
      </c>
      <c r="F59" s="36">
        <v>50.122100000000003</v>
      </c>
      <c r="G59" s="36">
        <v>51.643799999999999</v>
      </c>
      <c r="H59" s="36">
        <v>54.518900000000002</v>
      </c>
      <c r="I59" s="36">
        <v>57.685400000000001</v>
      </c>
      <c r="J59" s="36">
        <v>61.247500000000002</v>
      </c>
      <c r="K59" s="36">
        <v>64.692700000000002</v>
      </c>
      <c r="L59" s="36">
        <v>68.011300000000006</v>
      </c>
      <c r="M59" s="36">
        <v>71.860100000000003</v>
      </c>
      <c r="N59" s="36">
        <v>75.586799999999997</v>
      </c>
      <c r="O59" s="36">
        <v>79.686999999999998</v>
      </c>
      <c r="P59" s="36">
        <v>83.927499999999995</v>
      </c>
      <c r="Q59" s="36">
        <v>88.302800000000005</v>
      </c>
      <c r="R59" s="36">
        <v>93.585400000000007</v>
      </c>
      <c r="S59" s="36">
        <v>99.095200000000006</v>
      </c>
      <c r="T59" s="36">
        <v>104.9383</v>
      </c>
      <c r="U59" s="36">
        <v>111.12779999999999</v>
      </c>
      <c r="V59" s="36">
        <v>117.6563</v>
      </c>
      <c r="W59" s="36">
        <v>124.4359</v>
      </c>
      <c r="X59" s="36">
        <v>131.65889999999999</v>
      </c>
      <c r="Y59" s="36">
        <v>139.2903</v>
      </c>
      <c r="Z59" s="36">
        <v>147.35149999999999</v>
      </c>
      <c r="AA59" s="36">
        <v>155.86709999999999</v>
      </c>
      <c r="AB59" s="36">
        <v>164.8638</v>
      </c>
      <c r="AC59" s="36">
        <v>174.36789999999999</v>
      </c>
      <c r="AD59" s="36">
        <v>184.4076</v>
      </c>
      <c r="AE59" s="36">
        <v>195.0127</v>
      </c>
      <c r="AF59" s="36">
        <v>203.20099999999999</v>
      </c>
      <c r="AG59" s="36">
        <v>211.38919999999999</v>
      </c>
      <c r="AH59" s="36">
        <v>219.57749999999999</v>
      </c>
      <c r="AI59" s="36">
        <v>227.76580000000001</v>
      </c>
      <c r="AJ59" s="36">
        <v>235.95400000000001</v>
      </c>
      <c r="AK59" s="36">
        <v>244.14230000000001</v>
      </c>
      <c r="AL59" s="36">
        <v>252.3306</v>
      </c>
      <c r="AM59" s="36">
        <v>260.5188</v>
      </c>
      <c r="AN59" s="36">
        <v>268.70710000000003</v>
      </c>
      <c r="AO59" s="36">
        <v>276.8954</v>
      </c>
      <c r="AP59" s="36">
        <v>285.08359999999999</v>
      </c>
      <c r="AQ59" s="36">
        <v>293.27190000000002</v>
      </c>
      <c r="AR59" s="36">
        <v>301.46019999999999</v>
      </c>
      <c r="AS59" s="36">
        <v>309.64850000000001</v>
      </c>
      <c r="AT59" s="36">
        <v>317.83670000000001</v>
      </c>
      <c r="AU59" s="36">
        <v>326.02499999999998</v>
      </c>
      <c r="AV59" s="36">
        <v>334.21319999999997</v>
      </c>
      <c r="AW59" s="36">
        <v>342.4015</v>
      </c>
      <c r="AX59" s="36">
        <v>350.58980000000003</v>
      </c>
      <c r="AY59" s="36">
        <v>358.77809999999999</v>
      </c>
    </row>
    <row r="60" spans="2:51" ht="17" customHeight="1" x14ac:dyDescent="0.45">
      <c r="B60" s="8" t="s">
        <v>109</v>
      </c>
      <c r="C60" s="30" t="s">
        <v>5</v>
      </c>
      <c r="D60" s="17" t="str">
        <f>IF('TECHNOLOGY REGISTER'!B61="","",'TECHNOLOGY REGISTER'!B61)</f>
        <v>PWRGEO</v>
      </c>
      <c r="E60" s="24" t="s">
        <v>120</v>
      </c>
      <c r="F60" s="37">
        <v>29.733700000000002</v>
      </c>
      <c r="G60" s="37">
        <v>33.187300000000008</v>
      </c>
      <c r="H60" s="37">
        <v>34.068100000000008</v>
      </c>
      <c r="I60" s="37">
        <v>36.453099999999999</v>
      </c>
      <c r="J60" s="37">
        <v>41.792300000000004</v>
      </c>
      <c r="K60" s="37">
        <v>42.981600000000007</v>
      </c>
      <c r="L60" s="37">
        <v>46.513000000000005</v>
      </c>
      <c r="M60" s="37">
        <v>47.677000000000007</v>
      </c>
      <c r="N60" s="37">
        <v>48.571200000000005</v>
      </c>
      <c r="O60" s="37">
        <v>53.116800000000005</v>
      </c>
      <c r="P60" s="37">
        <v>54.831499999999998</v>
      </c>
      <c r="Q60" s="37">
        <v>60.133599999999994</v>
      </c>
      <c r="R60" s="37">
        <v>64.6691</v>
      </c>
      <c r="S60" s="37">
        <v>67.662300000000002</v>
      </c>
      <c r="T60" s="37">
        <v>75.186799999999991</v>
      </c>
      <c r="U60" s="37">
        <v>83.911699999999968</v>
      </c>
      <c r="V60" s="37">
        <v>85.501499999999979</v>
      </c>
      <c r="W60" s="37">
        <v>87.886399999999981</v>
      </c>
      <c r="X60" s="37">
        <v>88.369299999999996</v>
      </c>
      <c r="Y60" s="37">
        <v>91.052299999999988</v>
      </c>
      <c r="Z60" s="37">
        <v>89.323099999999997</v>
      </c>
      <c r="AA60" s="37">
        <v>92.602399999999989</v>
      </c>
      <c r="AB60" s="37">
        <v>93.696599999999989</v>
      </c>
      <c r="AC60" s="37">
        <v>96.528700000000001</v>
      </c>
      <c r="AD60" s="37">
        <v>101.0004</v>
      </c>
      <c r="AE60" s="37">
        <v>104.1306</v>
      </c>
      <c r="AF60" s="37">
        <v>107.1117</v>
      </c>
      <c r="AG60" s="37">
        <v>110.0929</v>
      </c>
      <c r="AH60" s="37">
        <v>113.074</v>
      </c>
      <c r="AI60" s="37">
        <v>116.05519999999999</v>
      </c>
      <c r="AJ60" s="37">
        <v>118.9999</v>
      </c>
      <c r="AK60" s="37">
        <v>121.6279</v>
      </c>
      <c r="AL60" s="37">
        <v>124.471</v>
      </c>
      <c r="AM60" s="37">
        <v>127.3176</v>
      </c>
      <c r="AN60" s="37">
        <v>130.16329999999999</v>
      </c>
      <c r="AO60" s="37">
        <v>133.02349999999998</v>
      </c>
      <c r="AP60" s="37">
        <v>135.87810000000002</v>
      </c>
      <c r="AQ60" s="37">
        <v>138.72720000000001</v>
      </c>
      <c r="AR60" s="37">
        <v>141.57379999999998</v>
      </c>
      <c r="AS60" s="37">
        <v>144.42149999999998</v>
      </c>
      <c r="AT60" s="37">
        <v>147.26769999999999</v>
      </c>
      <c r="AU60" s="37">
        <v>150.11350000000002</v>
      </c>
      <c r="AV60" s="37">
        <v>152.9598</v>
      </c>
      <c r="AW60" s="37">
        <v>155.80529999999999</v>
      </c>
      <c r="AX60" s="37">
        <v>158.65099999999998</v>
      </c>
      <c r="AY60" s="37">
        <v>161.50279999999998</v>
      </c>
    </row>
    <row r="61" spans="2:51" ht="17" customHeight="1" x14ac:dyDescent="0.45">
      <c r="B61" s="33" t="s">
        <v>109</v>
      </c>
      <c r="C61" s="29" t="s">
        <v>5</v>
      </c>
      <c r="D61" s="19" t="str">
        <f>IF('TECHNOLOGY REGISTER'!B62="","",'TECHNOLOGY REGISTER'!B62)</f>
        <v>PWRHYD</v>
      </c>
      <c r="E61" s="32" t="s">
        <v>120</v>
      </c>
      <c r="F61" s="36">
        <v>11.7784</v>
      </c>
      <c r="G61" s="36">
        <v>11.7784</v>
      </c>
      <c r="H61" s="36">
        <v>11.7784</v>
      </c>
      <c r="I61" s="36">
        <v>11.7784</v>
      </c>
      <c r="J61" s="36">
        <v>11.7784</v>
      </c>
      <c r="K61" s="36">
        <v>11.7784</v>
      </c>
      <c r="L61" s="36">
        <v>11.7784</v>
      </c>
      <c r="M61" s="36">
        <v>11.7784</v>
      </c>
      <c r="N61" s="36">
        <v>11.7784</v>
      </c>
      <c r="O61" s="36">
        <v>11.7784</v>
      </c>
      <c r="P61" s="36">
        <v>11.7784</v>
      </c>
      <c r="Q61" s="36">
        <v>11.778400000000001</v>
      </c>
      <c r="R61" s="36">
        <v>11.7784</v>
      </c>
      <c r="S61" s="36">
        <v>11.778399999999998</v>
      </c>
      <c r="T61" s="36">
        <v>11.7784</v>
      </c>
      <c r="U61" s="36">
        <v>11.7784</v>
      </c>
      <c r="V61" s="36">
        <v>11.778399999999998</v>
      </c>
      <c r="W61" s="36">
        <v>10.0839</v>
      </c>
      <c r="X61" s="36">
        <v>10.084</v>
      </c>
      <c r="Y61" s="36">
        <v>10.084</v>
      </c>
      <c r="Z61" s="36">
        <v>10.084</v>
      </c>
      <c r="AA61" s="36">
        <v>10.084</v>
      </c>
      <c r="AB61" s="36">
        <v>10.0839</v>
      </c>
      <c r="AC61" s="36">
        <v>10.084</v>
      </c>
      <c r="AD61" s="36">
        <v>10.084</v>
      </c>
      <c r="AE61" s="36">
        <v>10.084</v>
      </c>
      <c r="AF61" s="36">
        <v>10.084</v>
      </c>
      <c r="AG61" s="36">
        <v>10.084</v>
      </c>
      <c r="AH61" s="36">
        <v>10.084</v>
      </c>
      <c r="AI61" s="36">
        <v>10.084</v>
      </c>
      <c r="AJ61" s="36">
        <v>10.0839</v>
      </c>
      <c r="AK61" s="36">
        <v>10.084</v>
      </c>
      <c r="AL61" s="36">
        <v>10.084</v>
      </c>
      <c r="AM61" s="36">
        <v>10.084</v>
      </c>
      <c r="AN61" s="36">
        <v>10.084</v>
      </c>
      <c r="AO61" s="36">
        <v>10.084000000000001</v>
      </c>
      <c r="AP61" s="36">
        <v>10.084</v>
      </c>
      <c r="AQ61" s="36">
        <v>10.084</v>
      </c>
      <c r="AR61" s="36">
        <v>10.084</v>
      </c>
      <c r="AS61" s="36">
        <v>10.084000000000001</v>
      </c>
      <c r="AT61" s="36">
        <v>10.084</v>
      </c>
      <c r="AU61" s="36">
        <v>10.084</v>
      </c>
      <c r="AV61" s="36">
        <v>10.084</v>
      </c>
      <c r="AW61" s="36">
        <v>10.083999999999998</v>
      </c>
      <c r="AX61" s="36">
        <v>10.084</v>
      </c>
      <c r="AY61" s="36">
        <v>10.084</v>
      </c>
    </row>
    <row r="62" spans="2:51" ht="17" customHeight="1" x14ac:dyDescent="0.45">
      <c r="B62" s="8" t="s">
        <v>109</v>
      </c>
      <c r="C62" s="30" t="s">
        <v>5</v>
      </c>
      <c r="D62" s="17" t="str">
        <f>IF('TECHNOLOGY REGISTER'!B63="","",'TECHNOLOGY REGISTER'!B63)</f>
        <v>PWRNGS</v>
      </c>
      <c r="E62" s="24" t="s">
        <v>120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1.0500000000000001E-2</v>
      </c>
      <c r="Q62" s="37">
        <v>2.5600000000000001E-2</v>
      </c>
      <c r="R62" s="37">
        <v>7.2800000000000004E-2</v>
      </c>
      <c r="S62" s="37">
        <v>7.1400000000000005E-2</v>
      </c>
      <c r="T62" s="37">
        <v>4.02E-2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0</v>
      </c>
      <c r="AB62" s="37">
        <v>0</v>
      </c>
      <c r="AC62" s="37">
        <v>0</v>
      </c>
      <c r="AD62" s="37">
        <v>0</v>
      </c>
      <c r="AE62" s="37">
        <v>0</v>
      </c>
      <c r="AF62" s="37">
        <v>0</v>
      </c>
      <c r="AG62" s="37">
        <v>0</v>
      </c>
      <c r="AH62" s="37">
        <v>0</v>
      </c>
      <c r="AI62" s="37">
        <v>0</v>
      </c>
      <c r="AJ62" s="37">
        <v>0</v>
      </c>
      <c r="AK62" s="37">
        <v>0</v>
      </c>
      <c r="AL62" s="37">
        <v>0</v>
      </c>
      <c r="AM62" s="37">
        <v>0</v>
      </c>
      <c r="AN62" s="37">
        <v>0</v>
      </c>
      <c r="AO62" s="37">
        <v>0</v>
      </c>
      <c r="AP62" s="37">
        <v>0</v>
      </c>
      <c r="AQ62" s="37">
        <v>0</v>
      </c>
      <c r="AR62" s="37">
        <v>0</v>
      </c>
      <c r="AS62" s="37">
        <v>0</v>
      </c>
      <c r="AT62" s="37">
        <v>0</v>
      </c>
      <c r="AU62" s="37">
        <v>0</v>
      </c>
      <c r="AV62" s="37">
        <v>0</v>
      </c>
      <c r="AW62" s="37">
        <v>0</v>
      </c>
      <c r="AX62" s="37">
        <v>0</v>
      </c>
      <c r="AY62" s="37">
        <v>0</v>
      </c>
    </row>
    <row r="63" spans="2:51" ht="17" customHeight="1" x14ac:dyDescent="0.45">
      <c r="B63" s="33" t="s">
        <v>109</v>
      </c>
      <c r="C63" s="29" t="s">
        <v>5</v>
      </c>
      <c r="D63" s="19" t="str">
        <f>IF('TECHNOLOGY REGISTER'!B64="","",'TECHNOLOGY REGISTER'!B64)</f>
        <v>PWRPHS</v>
      </c>
      <c r="E63" s="32" t="s">
        <v>120</v>
      </c>
      <c r="F63" s="36">
        <v>0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>
        <v>0</v>
      </c>
      <c r="M63" s="36">
        <v>0</v>
      </c>
      <c r="N63" s="36">
        <v>0</v>
      </c>
      <c r="O63" s="36">
        <v>1.1228</v>
      </c>
      <c r="P63" s="36">
        <v>1.1289</v>
      </c>
      <c r="Q63" s="36">
        <v>1.4883</v>
      </c>
      <c r="R63" s="36">
        <v>1.5191000000000001</v>
      </c>
      <c r="S63" s="36">
        <v>1.3007</v>
      </c>
      <c r="T63" s="36">
        <v>1.3132999999999999</v>
      </c>
      <c r="U63" s="36">
        <v>2.6267</v>
      </c>
      <c r="V63" s="36">
        <v>2.7149000000000001</v>
      </c>
      <c r="W63" s="36">
        <v>2.6440000000000001</v>
      </c>
      <c r="X63" s="36">
        <v>2.7096999999999998</v>
      </c>
      <c r="Y63" s="36">
        <v>2.7922000000000002</v>
      </c>
      <c r="Z63" s="36">
        <v>2.8817000000000004</v>
      </c>
      <c r="AA63" s="36">
        <v>2.9702999999999999</v>
      </c>
      <c r="AB63" s="36">
        <v>3.4050000000000002</v>
      </c>
      <c r="AC63" s="36">
        <v>3.7497999999999996</v>
      </c>
      <c r="AD63" s="36">
        <v>3.9734000000000003</v>
      </c>
      <c r="AE63" s="36">
        <v>4.7185000000000006</v>
      </c>
      <c r="AF63" s="36">
        <v>4.9725999999999999</v>
      </c>
      <c r="AG63" s="36">
        <v>5.2736999999999998</v>
      </c>
      <c r="AH63" s="36">
        <v>5.3420000000000005</v>
      </c>
      <c r="AI63" s="36">
        <v>5.3988999999999994</v>
      </c>
      <c r="AJ63" s="36">
        <v>5.4260000000000002</v>
      </c>
      <c r="AK63" s="36">
        <v>5.4276</v>
      </c>
      <c r="AL63" s="36">
        <v>5.4291999999999998</v>
      </c>
      <c r="AM63" s="36">
        <v>5.4314999999999998</v>
      </c>
      <c r="AN63" s="36">
        <v>5.4329999999999998</v>
      </c>
      <c r="AO63" s="36">
        <v>5.4398</v>
      </c>
      <c r="AP63" s="36">
        <v>5.4340999999999999</v>
      </c>
      <c r="AQ63" s="36">
        <v>5.4367000000000001</v>
      </c>
      <c r="AR63" s="36">
        <v>5.4385000000000003</v>
      </c>
      <c r="AS63" s="36">
        <v>5.4405999999999999</v>
      </c>
      <c r="AT63" s="36">
        <v>5.4420999999999999</v>
      </c>
      <c r="AU63" s="36">
        <v>5.4436</v>
      </c>
      <c r="AV63" s="36">
        <v>5.4450000000000003</v>
      </c>
      <c r="AW63" s="36">
        <v>5.4465000000000003</v>
      </c>
      <c r="AX63" s="36">
        <v>5.4478999999999997</v>
      </c>
      <c r="AY63" s="36">
        <v>5.4619999999999997</v>
      </c>
    </row>
    <row r="64" spans="2:51" ht="17" customHeight="1" x14ac:dyDescent="0.45">
      <c r="B64" s="8" t="s">
        <v>109</v>
      </c>
      <c r="C64" s="30" t="s">
        <v>5</v>
      </c>
      <c r="D64" s="17" t="str">
        <f>IF('TECHNOLOGY REGISTER'!B65="","",'TECHNOLOGY REGISTER'!B65)</f>
        <v>PWRSOL</v>
      </c>
      <c r="E64" s="24" t="s">
        <v>120</v>
      </c>
      <c r="F64" s="37">
        <v>1.5589000000000002</v>
      </c>
      <c r="G64" s="37">
        <v>1.8066000000000002</v>
      </c>
      <c r="H64" s="37">
        <v>1.8066000000000002</v>
      </c>
      <c r="I64" s="37">
        <v>1.8066000000000002</v>
      </c>
      <c r="J64" s="37">
        <v>1.8066000000000002</v>
      </c>
      <c r="K64" s="37">
        <v>1.8066000000000002</v>
      </c>
      <c r="L64" s="37">
        <v>1.8066000000000002</v>
      </c>
      <c r="M64" s="37">
        <v>1.8066000000000002</v>
      </c>
      <c r="N64" s="37">
        <v>1.8066000000000002</v>
      </c>
      <c r="O64" s="37">
        <v>1.8066000000000002</v>
      </c>
      <c r="P64" s="37">
        <v>1.8066000000000002</v>
      </c>
      <c r="Q64" s="37">
        <v>1.8066000000000002</v>
      </c>
      <c r="R64" s="37">
        <v>1.8066000000000002</v>
      </c>
      <c r="S64" s="37">
        <v>1.4955000000000001</v>
      </c>
      <c r="T64" s="37">
        <v>1.4955000000000001</v>
      </c>
      <c r="U64" s="37">
        <v>1.4955000000000001</v>
      </c>
      <c r="V64" s="37">
        <v>2.0064000000000002</v>
      </c>
      <c r="W64" s="37">
        <v>1.7587000000000002</v>
      </c>
      <c r="X64" s="37">
        <v>1.5017</v>
      </c>
      <c r="Y64" s="37">
        <v>1.254</v>
      </c>
      <c r="Z64" s="37">
        <v>1.254</v>
      </c>
      <c r="AA64" s="37">
        <v>1.0063</v>
      </c>
      <c r="AB64" s="37">
        <v>1.0063</v>
      </c>
      <c r="AC64" s="37">
        <v>1.0063</v>
      </c>
      <c r="AD64" s="37">
        <v>1.0063</v>
      </c>
      <c r="AE64" s="37">
        <v>1.4835</v>
      </c>
      <c r="AF64" s="37">
        <v>3.1097999999999999</v>
      </c>
      <c r="AG64" s="37">
        <v>4.5548000000000002</v>
      </c>
      <c r="AH64" s="37">
        <v>6.0546000000000006</v>
      </c>
      <c r="AI64" s="37">
        <v>6.2288999999999994</v>
      </c>
      <c r="AJ64" s="37">
        <v>6.6935000000000002</v>
      </c>
      <c r="AK64" s="37">
        <v>7.3277999999999999</v>
      </c>
      <c r="AL64" s="37">
        <v>7.4375</v>
      </c>
      <c r="AM64" s="37">
        <v>7.5431000000000008</v>
      </c>
      <c r="AN64" s="37">
        <v>7.6958000000000002</v>
      </c>
      <c r="AO64" s="37">
        <v>7.7248999999999999</v>
      </c>
      <c r="AP64" s="37">
        <v>7.6279000000000003</v>
      </c>
      <c r="AQ64" s="37">
        <v>7.7529000000000003</v>
      </c>
      <c r="AR64" s="37">
        <v>7.8978999999999999</v>
      </c>
      <c r="AS64" s="37">
        <v>8.0351999999999997</v>
      </c>
      <c r="AT64" s="37">
        <v>8.1872000000000007</v>
      </c>
      <c r="AU64" s="37">
        <v>8.3399000000000001</v>
      </c>
      <c r="AV64" s="37">
        <v>8.4924999999999997</v>
      </c>
      <c r="AW64" s="37">
        <v>8.6452000000000009</v>
      </c>
      <c r="AX64" s="37">
        <v>8.7979000000000003</v>
      </c>
      <c r="AY64" s="37">
        <v>8.9528999999999996</v>
      </c>
    </row>
    <row r="65" spans="2:51" ht="17" customHeight="1" x14ac:dyDescent="0.45">
      <c r="B65" s="33" t="s">
        <v>109</v>
      </c>
      <c r="C65" s="29" t="s">
        <v>5</v>
      </c>
      <c r="D65" s="19" t="str">
        <f>IF('TECHNOLOGY REGISTER'!B66="","",'TECHNOLOGY REGISTER'!B66)</f>
        <v>PWRTRN</v>
      </c>
      <c r="E65" s="32" t="s">
        <v>120</v>
      </c>
      <c r="F65" s="36">
        <v>54.599200000000003</v>
      </c>
      <c r="G65" s="36">
        <v>56.189599999999999</v>
      </c>
      <c r="H65" s="36">
        <v>59.2532</v>
      </c>
      <c r="I65" s="36">
        <v>62.619799999999998</v>
      </c>
      <c r="J65" s="36">
        <v>66.414599999999993</v>
      </c>
      <c r="K65" s="36">
        <v>70.074399999999997</v>
      </c>
      <c r="L65" s="36">
        <v>73.581400000000002</v>
      </c>
      <c r="M65" s="36">
        <v>77.6614</v>
      </c>
      <c r="N65" s="36">
        <v>81.600800000000007</v>
      </c>
      <c r="O65" s="36">
        <v>85.925200000000004</v>
      </c>
      <c r="P65" s="36">
        <v>90.400199999999998</v>
      </c>
      <c r="Q65" s="36">
        <v>95.000299999999996</v>
      </c>
      <c r="R65" s="36">
        <v>100.5754</v>
      </c>
      <c r="S65" s="36">
        <v>106.3824</v>
      </c>
      <c r="T65" s="36">
        <v>112.5223</v>
      </c>
      <c r="U65" s="36">
        <v>119.03149999999999</v>
      </c>
      <c r="V65" s="36">
        <v>125.8895</v>
      </c>
      <c r="W65" s="36">
        <v>132.98689999999999</v>
      </c>
      <c r="X65" s="36">
        <v>140.55609999999999</v>
      </c>
      <c r="Y65" s="36">
        <v>148.52879999999999</v>
      </c>
      <c r="Z65" s="36">
        <v>156.9573</v>
      </c>
      <c r="AA65" s="36">
        <v>165.85140000000001</v>
      </c>
      <c r="AB65" s="36">
        <v>175.2193</v>
      </c>
      <c r="AC65" s="36">
        <v>185.12360000000001</v>
      </c>
      <c r="AD65" s="36">
        <v>195.57499999999999</v>
      </c>
      <c r="AE65" s="36">
        <v>206.5813</v>
      </c>
      <c r="AF65" s="36">
        <v>215.25530000000001</v>
      </c>
      <c r="AG65" s="36">
        <v>223.92930000000001</v>
      </c>
      <c r="AH65" s="36">
        <v>232.60329999999999</v>
      </c>
      <c r="AI65" s="36">
        <v>241.2773</v>
      </c>
      <c r="AJ65" s="36">
        <v>249.9513</v>
      </c>
      <c r="AK65" s="36">
        <v>258.62529999999998</v>
      </c>
      <c r="AL65" s="36">
        <v>267.29930000000002</v>
      </c>
      <c r="AM65" s="36">
        <v>275.97340000000003</v>
      </c>
      <c r="AN65" s="36">
        <v>284.6474</v>
      </c>
      <c r="AO65" s="36">
        <v>293.32139999999998</v>
      </c>
      <c r="AP65" s="36">
        <v>301.99540000000002</v>
      </c>
      <c r="AQ65" s="36">
        <v>310.6694</v>
      </c>
      <c r="AR65" s="36">
        <v>319.34339999999997</v>
      </c>
      <c r="AS65" s="36">
        <v>328.01740000000001</v>
      </c>
      <c r="AT65" s="36">
        <v>336.69139999999999</v>
      </c>
      <c r="AU65" s="36">
        <v>345.3655</v>
      </c>
      <c r="AV65" s="36">
        <v>354.03949999999998</v>
      </c>
      <c r="AW65" s="36">
        <v>362.71350000000001</v>
      </c>
      <c r="AX65" s="36">
        <v>371.38749999999999</v>
      </c>
      <c r="AY65" s="36">
        <v>380.06150000000002</v>
      </c>
    </row>
    <row r="66" spans="2:51" ht="17" customHeight="1" x14ac:dyDescent="0.45">
      <c r="B66" s="8" t="s">
        <v>109</v>
      </c>
      <c r="C66" s="30" t="s">
        <v>5</v>
      </c>
      <c r="D66" s="17" t="str">
        <f>IF('TECHNOLOGY REGISTER'!B67="","",'TECHNOLOGY REGISTER'!B67)</f>
        <v>PWRWND</v>
      </c>
      <c r="E66" s="24" t="s">
        <v>120</v>
      </c>
      <c r="F66" s="37">
        <v>7.0513999999999992</v>
      </c>
      <c r="G66" s="37">
        <v>7.6819999999999995</v>
      </c>
      <c r="H66" s="37">
        <v>8.1534999999999993</v>
      </c>
      <c r="I66" s="37">
        <v>9.3591999999999995</v>
      </c>
      <c r="J66" s="37">
        <v>9.3591999999999995</v>
      </c>
      <c r="K66" s="37">
        <v>12.084</v>
      </c>
      <c r="L66" s="37">
        <v>12.084</v>
      </c>
      <c r="M66" s="37">
        <v>14.934699999999998</v>
      </c>
      <c r="N66" s="37">
        <v>18.793399999999998</v>
      </c>
      <c r="O66" s="37">
        <v>18.793399999999998</v>
      </c>
      <c r="P66" s="37">
        <v>21.400700000000001</v>
      </c>
      <c r="Q66" s="37">
        <v>21.400700000000001</v>
      </c>
      <c r="R66" s="37">
        <v>22.433900000000001</v>
      </c>
      <c r="S66" s="37">
        <v>25.876200000000001</v>
      </c>
      <c r="T66" s="37">
        <v>24.141999999999999</v>
      </c>
      <c r="U66" s="37">
        <v>24.141999999999999</v>
      </c>
      <c r="V66" s="37">
        <v>29.016500000000001</v>
      </c>
      <c r="W66" s="37">
        <v>35.782499999999999</v>
      </c>
      <c r="X66" s="37">
        <v>43.409399999999998</v>
      </c>
      <c r="Y66" s="37">
        <v>49.207500000000003</v>
      </c>
      <c r="Z66" s="37">
        <v>59.540500000000002</v>
      </c>
      <c r="AA66" s="37">
        <v>65.607100000000003</v>
      </c>
      <c r="AB66" s="37">
        <v>74.532599999999988</v>
      </c>
      <c r="AC66" s="37">
        <v>82.107900000000001</v>
      </c>
      <c r="AD66" s="37">
        <v>88.276199999999989</v>
      </c>
      <c r="AE66" s="37">
        <v>97.919299999999993</v>
      </c>
      <c r="AF66" s="37">
        <v>102.09909999999999</v>
      </c>
      <c r="AG66" s="37">
        <v>106.0256</v>
      </c>
      <c r="AH66" s="37">
        <v>109.16459999999999</v>
      </c>
      <c r="AI66" s="37">
        <v>114.2572</v>
      </c>
      <c r="AJ66" s="37">
        <v>118.9113</v>
      </c>
      <c r="AK66" s="37">
        <v>124.16879999999999</v>
      </c>
      <c r="AL66" s="37">
        <v>129.74799999999999</v>
      </c>
      <c r="AM66" s="37">
        <v>135.33779999999999</v>
      </c>
      <c r="AN66" s="37">
        <v>140.88989999999998</v>
      </c>
      <c r="AO66" s="37">
        <v>146.56780000000001</v>
      </c>
      <c r="AP66" s="37">
        <v>152.5658</v>
      </c>
      <c r="AQ66" s="37">
        <v>158.14609999999999</v>
      </c>
      <c r="AR66" s="37">
        <v>163.70599999999999</v>
      </c>
      <c r="AS66" s="37">
        <v>169.27379999999999</v>
      </c>
      <c r="AT66" s="37">
        <v>174.82669999999999</v>
      </c>
      <c r="AU66" s="37">
        <v>180.37879999999998</v>
      </c>
      <c r="AV66" s="37">
        <v>185.93090000000001</v>
      </c>
      <c r="AW66" s="37">
        <v>191.4829</v>
      </c>
      <c r="AX66" s="37">
        <v>197.0351</v>
      </c>
      <c r="AY66" s="37">
        <v>202.5598</v>
      </c>
    </row>
    <row r="67" spans="2:51" ht="17" customHeight="1" x14ac:dyDescent="0.45">
      <c r="B67" s="33" t="s">
        <v>109</v>
      </c>
      <c r="C67" s="29" t="s">
        <v>5</v>
      </c>
      <c r="D67" s="19" t="str">
        <f>IF('TECHNOLOGY REGISTER'!B68="","",'TECHNOLOGY REGISTER'!B68)</f>
        <v>PWRHFO</v>
      </c>
      <c r="E67" s="32" t="s">
        <v>120</v>
      </c>
      <c r="F67" s="36">
        <v>2.4498000000000006</v>
      </c>
      <c r="G67" s="36">
        <v>0.40600000000000003</v>
      </c>
      <c r="H67" s="36">
        <v>0.95020000000000004</v>
      </c>
      <c r="I67" s="36">
        <v>1.0560999999999998</v>
      </c>
      <c r="J67" s="36">
        <v>0.83150000000000002</v>
      </c>
      <c r="K67" s="36">
        <v>0.74419999999999997</v>
      </c>
      <c r="L67" s="36">
        <v>0.78360000000000007</v>
      </c>
      <c r="M67" s="36">
        <v>0.8580000000000001</v>
      </c>
      <c r="N67" s="36">
        <v>0.73680000000000001</v>
      </c>
      <c r="O67" s="36">
        <v>1.8E-3</v>
      </c>
      <c r="P67" s="36">
        <v>6.54E-2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6">
        <v>0</v>
      </c>
      <c r="Y67" s="36">
        <v>0</v>
      </c>
      <c r="Z67" s="36">
        <v>0</v>
      </c>
      <c r="AA67" s="36">
        <v>0</v>
      </c>
      <c r="AB67" s="36">
        <v>0</v>
      </c>
      <c r="AC67" s="36">
        <v>0</v>
      </c>
      <c r="AD67" s="36">
        <v>0</v>
      </c>
      <c r="AE67" s="36">
        <v>0</v>
      </c>
      <c r="AF67" s="36">
        <v>0</v>
      </c>
      <c r="AG67" s="36">
        <v>0</v>
      </c>
      <c r="AH67" s="36">
        <v>0</v>
      </c>
      <c r="AI67" s="36">
        <v>0</v>
      </c>
      <c r="AJ67" s="36">
        <v>0</v>
      </c>
      <c r="AK67" s="36">
        <v>0</v>
      </c>
      <c r="AL67" s="36">
        <v>0</v>
      </c>
      <c r="AM67" s="36">
        <v>0</v>
      </c>
      <c r="AN67" s="36">
        <v>0</v>
      </c>
      <c r="AO67" s="36">
        <v>0</v>
      </c>
      <c r="AP67" s="36">
        <v>0</v>
      </c>
      <c r="AQ67" s="36">
        <v>0</v>
      </c>
      <c r="AR67" s="36">
        <v>0</v>
      </c>
      <c r="AS67" s="36">
        <v>0</v>
      </c>
      <c r="AT67" s="36">
        <v>0</v>
      </c>
      <c r="AU67" s="36">
        <v>0</v>
      </c>
      <c r="AV67" s="36">
        <v>0</v>
      </c>
      <c r="AW67" s="36">
        <v>0</v>
      </c>
      <c r="AX67" s="36">
        <v>0</v>
      </c>
      <c r="AY67" s="36">
        <v>0</v>
      </c>
    </row>
    <row r="68" spans="2:51" ht="17" customHeight="1" x14ac:dyDescent="0.45">
      <c r="B68" s="8" t="s">
        <v>109</v>
      </c>
      <c r="C68" s="30" t="s">
        <v>5</v>
      </c>
      <c r="D68" s="17" t="str">
        <f>IF('TECHNOLOGY REGISTER'!B69="","",'TECHNOLOGY REGISTER'!B69)</f>
        <v>PWRIMP</v>
      </c>
      <c r="E68" s="24" t="s">
        <v>120</v>
      </c>
      <c r="F68" s="37">
        <v>4.4505999999999997</v>
      </c>
      <c r="G68" s="37">
        <v>3.6673</v>
      </c>
      <c r="H68" s="37">
        <v>4.9733000000000001</v>
      </c>
      <c r="I68" s="37">
        <v>4.67</v>
      </c>
      <c r="J68" s="37">
        <v>3.5221</v>
      </c>
      <c r="K68" s="37">
        <v>2.7614000000000001</v>
      </c>
      <c r="L68" s="37">
        <v>2.5417000000000001</v>
      </c>
      <c r="M68" s="37">
        <v>2.5472000000000001</v>
      </c>
      <c r="N68" s="37">
        <v>2.5394000000000001</v>
      </c>
      <c r="O68" s="37">
        <v>2.6015999999999999</v>
      </c>
      <c r="P68" s="37">
        <v>2.8788</v>
      </c>
      <c r="Q68" s="37">
        <v>2.4361999999999999</v>
      </c>
      <c r="R68" s="37">
        <v>2.6476999999999999</v>
      </c>
      <c r="S68" s="37">
        <v>2.5954999999999999</v>
      </c>
      <c r="T68" s="37">
        <v>3.2549000000000001</v>
      </c>
      <c r="U68" s="37">
        <v>1.3746</v>
      </c>
      <c r="V68" s="37">
        <v>1.5686</v>
      </c>
      <c r="W68" s="37">
        <v>1.7791999999999999</v>
      </c>
      <c r="X68" s="37">
        <v>1.8704000000000001</v>
      </c>
      <c r="Y68" s="37">
        <v>1.9715</v>
      </c>
      <c r="Z68" s="37">
        <v>2.1783999999999999</v>
      </c>
      <c r="AA68" s="37">
        <v>2.3778000000000001</v>
      </c>
      <c r="AB68" s="37">
        <v>2.1511</v>
      </c>
      <c r="AC68" s="37">
        <v>2.0975000000000001</v>
      </c>
      <c r="AD68" s="37">
        <v>2.383</v>
      </c>
      <c r="AE68" s="37">
        <v>2.3359999999999999</v>
      </c>
      <c r="AF68" s="37">
        <v>2.6164000000000001</v>
      </c>
      <c r="AG68" s="37">
        <v>3.3313000000000001</v>
      </c>
      <c r="AH68" s="37">
        <v>4.4542000000000002</v>
      </c>
      <c r="AI68" s="37">
        <v>4.4215999999999998</v>
      </c>
      <c r="AJ68" s="37">
        <v>4.6642000000000001</v>
      </c>
      <c r="AK68" s="37">
        <v>4.9814999999999996</v>
      </c>
      <c r="AL68" s="37">
        <v>4.8236999999999997</v>
      </c>
      <c r="AM68" s="37">
        <v>4.6982999999999997</v>
      </c>
      <c r="AN68" s="37">
        <v>4.6157000000000004</v>
      </c>
      <c r="AO68" s="37">
        <v>4.5548999999999999</v>
      </c>
      <c r="AP68" s="37">
        <v>4.6032000000000002</v>
      </c>
      <c r="AQ68" s="37">
        <v>4.5255000000000001</v>
      </c>
      <c r="AR68" s="37">
        <v>4.4442000000000004</v>
      </c>
      <c r="AS68" s="37">
        <v>4.3643000000000001</v>
      </c>
      <c r="AT68" s="37">
        <v>4.2817999999999996</v>
      </c>
      <c r="AU68" s="37">
        <v>4.1992000000000003</v>
      </c>
      <c r="AV68" s="37">
        <v>4.1166</v>
      </c>
      <c r="AW68" s="37">
        <v>4.0339</v>
      </c>
      <c r="AX68" s="37">
        <v>3.9512999999999998</v>
      </c>
      <c r="AY68" s="37">
        <v>3.9077999999999999</v>
      </c>
    </row>
    <row r="69" spans="2:51" ht="17" customHeight="1" x14ac:dyDescent="0.45">
      <c r="B69" s="33" t="s">
        <v>109</v>
      </c>
      <c r="C69" s="29" t="s">
        <v>5</v>
      </c>
      <c r="D69" s="19" t="str">
        <f>IF('TECHNOLOGY REGISTER'!B70="","",'TECHNOLOGY REGISTER'!B70)</f>
        <v>PWRURN</v>
      </c>
      <c r="E69" s="32" t="s">
        <v>120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  <c r="M69" s="36">
        <v>0</v>
      </c>
      <c r="N69" s="36">
        <v>0</v>
      </c>
      <c r="O69" s="36">
        <v>0</v>
      </c>
      <c r="P69" s="36">
        <v>0</v>
      </c>
      <c r="Q69" s="36">
        <v>0</v>
      </c>
      <c r="R69" s="36">
        <v>0</v>
      </c>
      <c r="S69" s="36">
        <v>0</v>
      </c>
      <c r="T69" s="36">
        <v>0</v>
      </c>
      <c r="U69" s="36">
        <v>0</v>
      </c>
      <c r="V69" s="36">
        <v>0</v>
      </c>
      <c r="W69" s="36">
        <v>0</v>
      </c>
      <c r="X69" s="36">
        <v>0</v>
      </c>
      <c r="Y69" s="36">
        <v>0</v>
      </c>
      <c r="Z69" s="36">
        <v>0</v>
      </c>
      <c r="AA69" s="36">
        <v>0</v>
      </c>
      <c r="AB69" s="36">
        <v>0</v>
      </c>
      <c r="AC69" s="36">
        <v>0</v>
      </c>
      <c r="AD69" s="36">
        <v>0</v>
      </c>
      <c r="AE69" s="36">
        <v>0</v>
      </c>
      <c r="AF69" s="36">
        <v>0</v>
      </c>
      <c r="AG69" s="36">
        <v>0</v>
      </c>
      <c r="AH69" s="36">
        <v>0.3246</v>
      </c>
      <c r="AI69" s="36">
        <v>1.1766999999999999</v>
      </c>
      <c r="AJ69" s="36">
        <v>1.9382999999999999</v>
      </c>
      <c r="AK69" s="36">
        <v>2.169</v>
      </c>
      <c r="AL69" s="36">
        <v>2.8623000000000003</v>
      </c>
      <c r="AM69" s="36">
        <v>3.5133000000000001</v>
      </c>
      <c r="AN69" s="36">
        <v>4.1128</v>
      </c>
      <c r="AO69" s="36">
        <v>4.6738999999999997</v>
      </c>
      <c r="AP69" s="36">
        <v>4.9374000000000002</v>
      </c>
      <c r="AQ69" s="36">
        <v>5.5284000000000004</v>
      </c>
      <c r="AR69" s="36">
        <v>6.1254</v>
      </c>
      <c r="AS69" s="36">
        <v>6.7202999999999999</v>
      </c>
      <c r="AT69" s="36">
        <v>7.3194999999999997</v>
      </c>
      <c r="AU69" s="36">
        <v>7.9190000000000005</v>
      </c>
      <c r="AV69" s="36">
        <v>8.5183999999999997</v>
      </c>
      <c r="AW69" s="36">
        <v>9.1179000000000006</v>
      </c>
      <c r="AX69" s="36">
        <v>9.7174000000000014</v>
      </c>
      <c r="AY69" s="36">
        <v>10.297599999999999</v>
      </c>
    </row>
    <row r="70" spans="2:51" ht="17" customHeight="1" x14ac:dyDescent="0.45">
      <c r="B70" s="8" t="s">
        <v>109</v>
      </c>
      <c r="C70" s="30" t="s">
        <v>5</v>
      </c>
      <c r="D70" s="17" t="str">
        <f>IF('TECHNOLOGY REGISTER'!B71="","",'TECHNOLOGY REGISTER'!B71)</f>
        <v>PWRLFO</v>
      </c>
      <c r="E70" s="24" t="s">
        <v>120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v>0</v>
      </c>
      <c r="S70" s="37">
        <v>0</v>
      </c>
      <c r="T70" s="37">
        <v>0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37">
        <v>0</v>
      </c>
      <c r="AC70" s="37">
        <v>0</v>
      </c>
      <c r="AD70" s="37">
        <v>0</v>
      </c>
      <c r="AE70" s="37">
        <v>0</v>
      </c>
      <c r="AF70" s="37">
        <v>0</v>
      </c>
      <c r="AG70" s="37">
        <v>0</v>
      </c>
      <c r="AH70" s="37">
        <v>0</v>
      </c>
      <c r="AI70" s="37">
        <v>0</v>
      </c>
      <c r="AJ70" s="37">
        <v>0</v>
      </c>
      <c r="AK70" s="37">
        <v>0</v>
      </c>
      <c r="AL70" s="37">
        <v>0</v>
      </c>
      <c r="AM70" s="37">
        <v>0</v>
      </c>
      <c r="AN70" s="37">
        <v>0</v>
      </c>
      <c r="AO70" s="37">
        <v>0</v>
      </c>
      <c r="AP70" s="37">
        <v>0</v>
      </c>
      <c r="AQ70" s="37">
        <v>0</v>
      </c>
      <c r="AR70" s="37">
        <v>0</v>
      </c>
      <c r="AS70" s="37">
        <v>0</v>
      </c>
      <c r="AT70" s="37">
        <v>0</v>
      </c>
      <c r="AU70" s="37">
        <v>0</v>
      </c>
      <c r="AV70" s="37">
        <v>0</v>
      </c>
      <c r="AW70" s="37">
        <v>0</v>
      </c>
      <c r="AX70" s="37">
        <v>0</v>
      </c>
      <c r="AY70" s="37">
        <v>0</v>
      </c>
    </row>
    <row r="71" spans="2:51" ht="17" customHeight="1" x14ac:dyDescent="0.45">
      <c r="B71" s="33" t="s">
        <v>109</v>
      </c>
      <c r="C71" s="29" t="s">
        <v>5</v>
      </c>
      <c r="D71" s="19" t="str">
        <f>IF('TECHNOLOGY REGISTER'!B72="","",'TECHNOLOGY REGISTER'!B72)</f>
        <v>PWRHYD16</v>
      </c>
      <c r="E71" s="32" t="s">
        <v>120</v>
      </c>
      <c r="F71" s="36">
        <v>0.39350000000000002</v>
      </c>
      <c r="G71" s="36">
        <v>0.72319999999999995</v>
      </c>
      <c r="H71" s="36">
        <v>0.86939999999999995</v>
      </c>
      <c r="I71" s="36">
        <v>0.91059999999999997</v>
      </c>
      <c r="J71" s="36">
        <v>1.0089999999999999</v>
      </c>
      <c r="K71" s="36">
        <v>1.4955000000000001</v>
      </c>
      <c r="L71" s="36">
        <v>1.8691</v>
      </c>
      <c r="M71" s="36">
        <v>2.1110000000000002</v>
      </c>
      <c r="N71" s="36">
        <v>2.5390999999999999</v>
      </c>
      <c r="O71" s="36">
        <v>2.8727999999999998</v>
      </c>
      <c r="P71" s="36">
        <v>3.2942</v>
      </c>
      <c r="Q71" s="36">
        <v>3.6650999999999998</v>
      </c>
      <c r="R71" s="36">
        <v>3.7128999999999999</v>
      </c>
      <c r="S71" s="36">
        <v>3.7648000000000001</v>
      </c>
      <c r="T71" s="36">
        <v>3.8206000000000002</v>
      </c>
      <c r="U71" s="36">
        <v>3.8831000000000002</v>
      </c>
      <c r="V71" s="36">
        <v>3.9508999999999999</v>
      </c>
      <c r="W71" s="36">
        <v>4.0254000000000003</v>
      </c>
      <c r="X71" s="36">
        <v>4.1063999999999998</v>
      </c>
      <c r="Y71" s="36">
        <v>4.1942000000000004</v>
      </c>
      <c r="Z71" s="36">
        <v>4.2911999999999999</v>
      </c>
      <c r="AA71" s="36">
        <v>4.3975999999999997</v>
      </c>
      <c r="AB71" s="36">
        <v>4.5132000000000003</v>
      </c>
      <c r="AC71" s="36">
        <v>4.6395</v>
      </c>
      <c r="AD71" s="36">
        <v>4.7778</v>
      </c>
      <c r="AE71" s="36">
        <v>4.9292999999999996</v>
      </c>
      <c r="AF71" s="36">
        <v>5.0303000000000004</v>
      </c>
      <c r="AG71" s="36">
        <v>5.1314000000000002</v>
      </c>
      <c r="AH71" s="36">
        <v>5.2324000000000002</v>
      </c>
      <c r="AI71" s="36">
        <v>5.3334000000000001</v>
      </c>
      <c r="AJ71" s="36">
        <v>5.4344999999999999</v>
      </c>
      <c r="AK71" s="36">
        <v>5.5354999999999999</v>
      </c>
      <c r="AL71" s="36">
        <v>5.6364999999999998</v>
      </c>
      <c r="AM71" s="36">
        <v>5.7375999999999996</v>
      </c>
      <c r="AN71" s="36">
        <v>5.8385999999999996</v>
      </c>
      <c r="AO71" s="36">
        <v>5.9396000000000004</v>
      </c>
      <c r="AP71" s="36">
        <v>6.0406000000000004</v>
      </c>
      <c r="AQ71" s="36">
        <v>6.1417000000000002</v>
      </c>
      <c r="AR71" s="36">
        <v>6.2427000000000001</v>
      </c>
      <c r="AS71" s="36">
        <v>6.3437000000000001</v>
      </c>
      <c r="AT71" s="36">
        <v>6.4447999999999999</v>
      </c>
      <c r="AU71" s="36">
        <v>6.5457999999999998</v>
      </c>
      <c r="AV71" s="36">
        <v>6.6467999999999998</v>
      </c>
      <c r="AW71" s="36">
        <v>6.7478999999999996</v>
      </c>
      <c r="AX71" s="36">
        <v>6.8489000000000004</v>
      </c>
      <c r="AY71" s="36">
        <v>6.9499000000000004</v>
      </c>
    </row>
    <row r="72" spans="2:51" ht="15" customHeight="1" x14ac:dyDescent="0.45">
      <c r="B72" s="8" t="s">
        <v>109</v>
      </c>
      <c r="C72" s="30" t="s">
        <v>5</v>
      </c>
      <c r="D72" s="17" t="str">
        <f>IF('TECHNOLOGY REGISTER'!B73="","",'TECHNOLOGY REGISTER'!B73)</f>
        <v/>
      </c>
      <c r="E72" s="24" t="s">
        <v>120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</row>
    <row r="73" spans="2:51" ht="15" customHeight="1" x14ac:dyDescent="0.45">
      <c r="B73" s="33" t="s">
        <v>109</v>
      </c>
      <c r="C73" s="29" t="s">
        <v>5</v>
      </c>
      <c r="D73" s="19" t="str">
        <f>IF('TECHNOLOGY REGISTER'!B74="","",'TECHNOLOGY REGISTER'!B74)</f>
        <v/>
      </c>
      <c r="E73" s="32" t="s">
        <v>120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</row>
    <row r="74" spans="2:51" ht="15" customHeight="1" x14ac:dyDescent="0.45">
      <c r="B74" s="8" t="s">
        <v>109</v>
      </c>
      <c r="C74" s="30" t="s">
        <v>5</v>
      </c>
      <c r="D74" s="17" t="str">
        <f>IF('TECHNOLOGY REGISTER'!B75="","",'TECHNOLOGY REGISTER'!B75)</f>
        <v/>
      </c>
      <c r="E74" s="24" t="s">
        <v>120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</row>
    <row r="75" spans="2:51" ht="15" customHeight="1" x14ac:dyDescent="0.45">
      <c r="B75" s="33" t="s">
        <v>109</v>
      </c>
      <c r="C75" s="29" t="s">
        <v>5</v>
      </c>
      <c r="D75" s="19" t="str">
        <f>IF('TECHNOLOGY REGISTER'!B76="","",'TECHNOLOGY REGISTER'!B76)</f>
        <v/>
      </c>
      <c r="E75" s="32" t="s">
        <v>120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</row>
    <row r="76" spans="2:51" ht="15" customHeight="1" x14ac:dyDescent="0.45">
      <c r="B76" s="8" t="s">
        <v>109</v>
      </c>
      <c r="C76" s="30" t="s">
        <v>5</v>
      </c>
      <c r="D76" s="17" t="str">
        <f>IF('TECHNOLOGY REGISTER'!B77="","",'TECHNOLOGY REGISTER'!B77)</f>
        <v/>
      </c>
      <c r="E76" s="24" t="s">
        <v>120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</row>
    <row r="77" spans="2:51" ht="15" customHeight="1" x14ac:dyDescent="0.45">
      <c r="B77" s="33" t="s">
        <v>109</v>
      </c>
      <c r="C77" s="29" t="s">
        <v>5</v>
      </c>
      <c r="D77" s="19" t="str">
        <f>IF('TECHNOLOGY REGISTER'!B78="","",'TECHNOLOGY REGISTER'!B78)</f>
        <v/>
      </c>
      <c r="E77" s="32" t="s">
        <v>120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</row>
    <row r="78" spans="2:51" ht="15" customHeight="1" x14ac:dyDescent="0.45">
      <c r="B78" s="8" t="s">
        <v>109</v>
      </c>
      <c r="C78" s="30" t="s">
        <v>5</v>
      </c>
      <c r="D78" s="17" t="str">
        <f>IF('TECHNOLOGY REGISTER'!B79="","",'TECHNOLOGY REGISTER'!B79)</f>
        <v/>
      </c>
      <c r="E78" s="24" t="s">
        <v>120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</row>
    <row r="79" spans="2:51" ht="15" customHeight="1" x14ac:dyDescent="0.45">
      <c r="B79" s="33" t="s">
        <v>109</v>
      </c>
      <c r="C79" s="29" t="s">
        <v>5</v>
      </c>
      <c r="D79" s="19" t="str">
        <f>IF('TECHNOLOGY REGISTER'!B80="","",'TECHNOLOGY REGISTER'!B80)</f>
        <v/>
      </c>
      <c r="E79" s="32" t="s">
        <v>120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</row>
    <row r="80" spans="2:51" ht="15" customHeight="1" x14ac:dyDescent="0.45">
      <c r="B80" s="8" t="s">
        <v>109</v>
      </c>
      <c r="C80" s="30" t="s">
        <v>5</v>
      </c>
      <c r="D80" s="17" t="str">
        <f>IF('TECHNOLOGY REGISTER'!B81="","",'TECHNOLOGY REGISTER'!B81)</f>
        <v/>
      </c>
      <c r="E80" s="24" t="s">
        <v>120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</row>
    <row r="81" spans="2:51" ht="15" customHeight="1" x14ac:dyDescent="0.45">
      <c r="B81" s="33" t="s">
        <v>109</v>
      </c>
      <c r="C81" s="29" t="s">
        <v>5</v>
      </c>
      <c r="D81" s="19" t="str">
        <f>IF('TECHNOLOGY REGISTER'!B82="","",'TECHNOLOGY REGISTER'!B82)</f>
        <v/>
      </c>
      <c r="E81" s="32" t="s">
        <v>120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</row>
    <row r="82" spans="2:51" ht="15" customHeight="1" x14ac:dyDescent="0.45">
      <c r="B82" s="8" t="s">
        <v>109</v>
      </c>
      <c r="C82" s="30" t="s">
        <v>5</v>
      </c>
      <c r="D82" s="17" t="str">
        <f>IF('TECHNOLOGY REGISTER'!B83="","",'TECHNOLOGY REGISTER'!B83)</f>
        <v/>
      </c>
      <c r="E82" s="24" t="s">
        <v>120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</row>
    <row r="83" spans="2:51" ht="15" customHeight="1" x14ac:dyDescent="0.45">
      <c r="B83" s="33" t="s">
        <v>109</v>
      </c>
      <c r="C83" s="29" t="s">
        <v>5</v>
      </c>
      <c r="D83" s="19" t="str">
        <f>IF('TECHNOLOGY REGISTER'!B84="","",'TECHNOLOGY REGISTER'!B84)</f>
        <v/>
      </c>
      <c r="E83" s="32" t="s">
        <v>120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</row>
    <row r="84" spans="2:51" ht="15" customHeight="1" x14ac:dyDescent="0.45">
      <c r="B84" s="8" t="s">
        <v>109</v>
      </c>
      <c r="C84" s="30" t="s">
        <v>5</v>
      </c>
      <c r="D84" s="17" t="str">
        <f>IF('TECHNOLOGY REGISTER'!B85="","",'TECHNOLOGY REGISTER'!B85)</f>
        <v/>
      </c>
      <c r="E84" s="24" t="s">
        <v>120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</row>
    <row r="85" spans="2:51" ht="15" customHeight="1" x14ac:dyDescent="0.45">
      <c r="B85" s="33" t="s">
        <v>109</v>
      </c>
      <c r="C85" s="29" t="s">
        <v>5</v>
      </c>
      <c r="D85" s="19" t="str">
        <f>IF('TECHNOLOGY REGISTER'!B86="","",'TECHNOLOGY REGISTER'!B86)</f>
        <v/>
      </c>
      <c r="E85" s="32" t="s">
        <v>120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</row>
    <row r="86" spans="2:51" ht="15" customHeight="1" x14ac:dyDescent="0.45">
      <c r="B86" s="8" t="s">
        <v>109</v>
      </c>
      <c r="C86" s="30" t="s">
        <v>5</v>
      </c>
      <c r="D86" s="17" t="str">
        <f>IF('TECHNOLOGY REGISTER'!B87="","",'TECHNOLOGY REGISTER'!B87)</f>
        <v/>
      </c>
      <c r="E86" s="24" t="s">
        <v>120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</row>
    <row r="87" spans="2:51" ht="15" customHeight="1" x14ac:dyDescent="0.45">
      <c r="B87" s="33" t="s">
        <v>109</v>
      </c>
      <c r="C87" s="29" t="s">
        <v>5</v>
      </c>
      <c r="D87" s="19" t="str">
        <f>IF('TECHNOLOGY REGISTER'!B88="","",'TECHNOLOGY REGISTER'!B88)</f>
        <v/>
      </c>
      <c r="E87" s="32" t="s">
        <v>120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</row>
    <row r="88" spans="2:51" ht="15" customHeight="1" x14ac:dyDescent="0.45">
      <c r="B88" s="8" t="s">
        <v>109</v>
      </c>
      <c r="C88" s="30" t="s">
        <v>5</v>
      </c>
      <c r="D88" s="17" t="str">
        <f>IF('TECHNOLOGY REGISTER'!B89="","",'TECHNOLOGY REGISTER'!B89)</f>
        <v/>
      </c>
      <c r="E88" s="24" t="s">
        <v>120</v>
      </c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</row>
    <row r="89" spans="2:51" ht="15" customHeight="1" x14ac:dyDescent="0.45">
      <c r="B89" s="33" t="s">
        <v>109</v>
      </c>
      <c r="C89" s="29" t="s">
        <v>5</v>
      </c>
      <c r="D89" s="19" t="str">
        <f>IF('TECHNOLOGY REGISTER'!B90="","",'TECHNOLOGY REGISTER'!B90)</f>
        <v/>
      </c>
      <c r="E89" s="32" t="s">
        <v>120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</row>
    <row r="90" spans="2:51" ht="15" customHeight="1" x14ac:dyDescent="0.45">
      <c r="B90" s="8" t="s">
        <v>109</v>
      </c>
      <c r="C90" s="30" t="s">
        <v>5</v>
      </c>
      <c r="D90" s="17" t="str">
        <f>IF('TECHNOLOGY REGISTER'!B91="","",'TECHNOLOGY REGISTER'!B91)</f>
        <v/>
      </c>
      <c r="E90" s="24" t="s">
        <v>120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</row>
    <row r="91" spans="2:51" ht="15" customHeight="1" x14ac:dyDescent="0.45">
      <c r="B91" s="33" t="s">
        <v>109</v>
      </c>
      <c r="C91" s="29" t="s">
        <v>5</v>
      </c>
      <c r="D91" s="19" t="str">
        <f>IF('TECHNOLOGY REGISTER'!B92="","",'TECHNOLOGY REGISTER'!B92)</f>
        <v/>
      </c>
      <c r="E91" s="32" t="s">
        <v>120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</row>
    <row r="92" spans="2:51" ht="15" customHeight="1" x14ac:dyDescent="0.45">
      <c r="B92" s="8" t="s">
        <v>109</v>
      </c>
      <c r="C92" s="30" t="s">
        <v>5</v>
      </c>
      <c r="D92" s="17" t="str">
        <f>IF('TECHNOLOGY REGISTER'!B93="","",'TECHNOLOGY REGISTER'!B93)</f>
        <v/>
      </c>
      <c r="E92" s="24" t="s">
        <v>120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</row>
    <row r="93" spans="2:51" ht="15" customHeight="1" x14ac:dyDescent="0.45">
      <c r="B93" s="33" t="s">
        <v>109</v>
      </c>
      <c r="C93" s="29" t="s">
        <v>5</v>
      </c>
      <c r="D93" s="19" t="str">
        <f>IF('TECHNOLOGY REGISTER'!B94="","",'TECHNOLOGY REGISTER'!B94)</f>
        <v/>
      </c>
      <c r="E93" s="32" t="s">
        <v>120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</row>
    <row r="94" spans="2:51" ht="15" customHeight="1" x14ac:dyDescent="0.45">
      <c r="B94" s="8" t="s">
        <v>109</v>
      </c>
      <c r="C94" s="30" t="s">
        <v>5</v>
      </c>
      <c r="D94" s="17" t="str">
        <f>IF('TECHNOLOGY REGISTER'!B95="","",'TECHNOLOGY REGISTER'!B95)</f>
        <v/>
      </c>
      <c r="E94" s="24" t="s">
        <v>120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</row>
    <row r="95" spans="2:51" ht="15" customHeight="1" x14ac:dyDescent="0.45">
      <c r="B95" s="33" t="s">
        <v>109</v>
      </c>
      <c r="C95" s="29" t="s">
        <v>5</v>
      </c>
      <c r="D95" s="19" t="str">
        <f>IF('TECHNOLOGY REGISTER'!B96="","",'TECHNOLOGY REGISTER'!B96)</f>
        <v/>
      </c>
      <c r="E95" s="32" t="s">
        <v>120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</row>
    <row r="96" spans="2:51" ht="15" customHeight="1" x14ac:dyDescent="0.45">
      <c r="B96" s="8" t="s">
        <v>109</v>
      </c>
      <c r="C96" s="30" t="s">
        <v>5</v>
      </c>
      <c r="D96" s="17" t="str">
        <f>IF('TECHNOLOGY REGISTER'!B97="","",'TECHNOLOGY REGISTER'!B97)</f>
        <v/>
      </c>
      <c r="E96" s="24" t="s">
        <v>120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</row>
    <row r="97" spans="2:51" ht="15" customHeight="1" x14ac:dyDescent="0.45">
      <c r="B97" s="33" t="s">
        <v>109</v>
      </c>
      <c r="C97" s="29" t="s">
        <v>5</v>
      </c>
      <c r="D97" s="19" t="str">
        <f>IF('TECHNOLOGY REGISTER'!B98="","",'TECHNOLOGY REGISTER'!B98)</f>
        <v/>
      </c>
      <c r="E97" s="32" t="s">
        <v>120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</row>
    <row r="98" spans="2:51" ht="15" customHeight="1" x14ac:dyDescent="0.45">
      <c r="B98" s="8" t="s">
        <v>109</v>
      </c>
      <c r="C98" s="30" t="s">
        <v>5</v>
      </c>
      <c r="D98" s="17" t="str">
        <f>IF('TECHNOLOGY REGISTER'!B99="","",'TECHNOLOGY REGISTER'!B99)</f>
        <v/>
      </c>
      <c r="E98" s="24" t="s">
        <v>120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</row>
    <row r="99" spans="2:51" ht="15" customHeight="1" x14ac:dyDescent="0.45">
      <c r="B99" s="33" t="s">
        <v>109</v>
      </c>
      <c r="C99" s="29" t="s">
        <v>5</v>
      </c>
      <c r="D99" s="19" t="str">
        <f>IF('TECHNOLOGY REGISTER'!B100="","",'TECHNOLOGY REGISTER'!B100)</f>
        <v/>
      </c>
      <c r="E99" s="32" t="s">
        <v>120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</row>
    <row r="100" spans="2:51" ht="15" customHeight="1" x14ac:dyDescent="0.45">
      <c r="B100" s="8" t="s">
        <v>109</v>
      </c>
      <c r="C100" s="30" t="s">
        <v>5</v>
      </c>
      <c r="D100" s="17" t="str">
        <f>IF('TECHNOLOGY REGISTER'!B101="","",'TECHNOLOGY REGISTER'!B101)</f>
        <v/>
      </c>
      <c r="E100" s="24" t="s">
        <v>120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</row>
    <row r="101" spans="2:51" ht="15" customHeight="1" x14ac:dyDescent="0.45">
      <c r="B101" s="33" t="s">
        <v>109</v>
      </c>
      <c r="C101" s="29" t="s">
        <v>5</v>
      </c>
      <c r="D101" s="19" t="str">
        <f>IF('TECHNOLOGY REGISTER'!B102="","",'TECHNOLOGY REGISTER'!B102)</f>
        <v/>
      </c>
      <c r="E101" s="32" t="s">
        <v>120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</row>
    <row r="102" spans="2:51" ht="15" customHeight="1" x14ac:dyDescent="0.45">
      <c r="B102" s="8" t="s">
        <v>109</v>
      </c>
      <c r="C102" s="30" t="s">
        <v>5</v>
      </c>
      <c r="D102" s="17" t="str">
        <f>IF('TECHNOLOGY REGISTER'!B103="","",'TECHNOLOGY REGISTER'!B103)</f>
        <v/>
      </c>
      <c r="E102" s="24" t="s">
        <v>120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</row>
    <row r="103" spans="2:51" ht="15" customHeight="1" x14ac:dyDescent="0.45">
      <c r="B103" s="33" t="s">
        <v>109</v>
      </c>
      <c r="C103" s="29" t="s">
        <v>5</v>
      </c>
      <c r="D103" s="19" t="str">
        <f>IF('TECHNOLOGY REGISTER'!B104="","",'TECHNOLOGY REGISTER'!B104)</f>
        <v/>
      </c>
      <c r="E103" s="32" t="s">
        <v>120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</row>
    <row r="104" spans="2:51" ht="15" customHeight="1" x14ac:dyDescent="0.45">
      <c r="B104" s="8" t="s">
        <v>109</v>
      </c>
      <c r="C104" s="30" t="s">
        <v>5</v>
      </c>
      <c r="D104" s="17" t="str">
        <f>IF('TECHNOLOGY REGISTER'!B105="","",'TECHNOLOGY REGISTER'!B105)</f>
        <v/>
      </c>
      <c r="E104" s="24" t="s">
        <v>120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</row>
    <row r="105" spans="2:51" ht="15" customHeight="1" x14ac:dyDescent="0.45">
      <c r="B105" s="33" t="s">
        <v>109</v>
      </c>
      <c r="C105" s="29" t="s">
        <v>5</v>
      </c>
      <c r="D105" s="19" t="str">
        <f>IF('TECHNOLOGY REGISTER'!B106="","",'TECHNOLOGY REGISTER'!B106)</f>
        <v/>
      </c>
      <c r="E105" s="32" t="s">
        <v>120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</row>
    <row r="106" spans="2:51" ht="15" customHeight="1" thickBot="1" x14ac:dyDescent="0.5">
      <c r="B106" s="8" t="s">
        <v>109</v>
      </c>
      <c r="C106" s="30" t="s">
        <v>5</v>
      </c>
      <c r="D106" s="17" t="str">
        <f>IF('TECHNOLOGY REGISTER'!B107="","",'TECHNOLOGY REGISTER'!B107)</f>
        <v/>
      </c>
      <c r="E106" s="24" t="s">
        <v>120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</row>
    <row r="107" spans="2:51" ht="20" customHeight="1" x14ac:dyDescent="0.45">
      <c r="B107" s="69" t="s">
        <v>117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</row>
    <row r="108" spans="2:51" ht="17" customHeight="1" x14ac:dyDescent="0.45">
      <c r="B108" s="33" t="s">
        <v>108</v>
      </c>
      <c r="C108" s="29" t="s">
        <v>5</v>
      </c>
      <c r="D108" s="19" t="str">
        <f>IF('TECHNOLOGY REGISTER'!B58="","",'TECHNOLOGY REGISTER'!B58)</f>
        <v>BESS_TECH</v>
      </c>
      <c r="E108" s="32" t="s">
        <v>100</v>
      </c>
      <c r="F108" s="36">
        <v>2.7890000000000001</v>
      </c>
      <c r="G108" s="36">
        <v>2.7286999999999999</v>
      </c>
      <c r="H108" s="36">
        <v>2.6682999999999999</v>
      </c>
      <c r="I108" s="36">
        <v>2.6078999999999999</v>
      </c>
      <c r="J108" s="36">
        <v>2.5476000000000001</v>
      </c>
      <c r="K108" s="36">
        <v>2.4959000000000002</v>
      </c>
      <c r="L108" s="36">
        <v>6.492</v>
      </c>
      <c r="M108" s="36">
        <v>7.1988000000000003</v>
      </c>
      <c r="N108" s="36">
        <v>7.0163000000000002</v>
      </c>
      <c r="O108" s="36">
        <v>6.6898999999999997</v>
      </c>
      <c r="P108" s="36">
        <v>4.4851999999999999</v>
      </c>
      <c r="Q108" s="36">
        <v>4.3977000000000004</v>
      </c>
      <c r="R108" s="36">
        <v>4.2935000000000008</v>
      </c>
      <c r="S108" s="36">
        <v>4.1885000000000003</v>
      </c>
      <c r="T108" s="36">
        <v>6.1408999999999994</v>
      </c>
      <c r="U108" s="36">
        <v>6.3286000000000007</v>
      </c>
      <c r="V108" s="36">
        <v>7.7639999999999993</v>
      </c>
      <c r="W108" s="36">
        <v>7.3049999999999997</v>
      </c>
      <c r="X108" s="36">
        <v>8.0206</v>
      </c>
      <c r="Y108" s="36">
        <v>9.0206</v>
      </c>
      <c r="Z108" s="36">
        <v>9.7802000000000007</v>
      </c>
      <c r="AA108" s="36">
        <v>10.930400000000001</v>
      </c>
      <c r="AB108" s="36">
        <v>13.6289</v>
      </c>
      <c r="AC108" s="36">
        <v>15.1053</v>
      </c>
      <c r="AD108" s="36">
        <v>16.6357</v>
      </c>
      <c r="AE108" s="36">
        <v>18.122600000000002</v>
      </c>
      <c r="AF108" s="36">
        <v>20.748200000000001</v>
      </c>
      <c r="AG108" s="36">
        <v>23.557600000000001</v>
      </c>
      <c r="AH108" s="36">
        <v>26.6615</v>
      </c>
      <c r="AI108" s="36">
        <v>27.8352</v>
      </c>
      <c r="AJ108" s="36">
        <v>29.410399999999999</v>
      </c>
      <c r="AK108" s="36">
        <v>31.226600000000001</v>
      </c>
      <c r="AL108" s="36">
        <v>32.196100000000001</v>
      </c>
      <c r="AM108" s="36">
        <v>33.320900000000002</v>
      </c>
      <c r="AN108" s="36">
        <v>34.343299999999999</v>
      </c>
      <c r="AO108" s="36">
        <v>36.178799999999995</v>
      </c>
      <c r="AP108" s="36">
        <v>37.5824</v>
      </c>
      <c r="AQ108" s="36">
        <v>38.787100000000002</v>
      </c>
      <c r="AR108" s="36">
        <v>39.860199999999999</v>
      </c>
      <c r="AS108" s="36">
        <v>40.983999999999995</v>
      </c>
      <c r="AT108" s="36">
        <v>42.011500000000005</v>
      </c>
      <c r="AU108" s="36">
        <v>43.034099999999995</v>
      </c>
      <c r="AV108" s="36">
        <v>44.056600000000003</v>
      </c>
      <c r="AW108" s="36">
        <v>45.0792</v>
      </c>
      <c r="AX108" s="36">
        <v>46.101799999999997</v>
      </c>
      <c r="AY108" s="36">
        <v>47.1479</v>
      </c>
    </row>
    <row r="109" spans="2:51" ht="17" customHeight="1" x14ac:dyDescent="0.45">
      <c r="B109" s="8" t="s">
        <v>108</v>
      </c>
      <c r="C109" s="30" t="s">
        <v>5</v>
      </c>
      <c r="D109" s="17" t="str">
        <f>IF('TECHNOLOGY REGISTER'!B59="","",'TECHNOLOGY REGISTER'!B59)</f>
        <v>PWRBIO</v>
      </c>
      <c r="E109" s="24" t="s">
        <v>100</v>
      </c>
      <c r="F109" s="37">
        <v>0.25509999999999999</v>
      </c>
      <c r="G109" s="37">
        <v>1.0051999999999999</v>
      </c>
      <c r="H109" s="37">
        <v>1.0051999999999999</v>
      </c>
      <c r="I109" s="37">
        <v>1.6052999999999999</v>
      </c>
      <c r="J109" s="37">
        <v>1.6052999999999999</v>
      </c>
      <c r="K109" s="37">
        <v>5.2210999999999999</v>
      </c>
      <c r="L109" s="37">
        <v>6.7214</v>
      </c>
      <c r="M109" s="37">
        <v>7.5316000000000001</v>
      </c>
      <c r="N109" s="37">
        <v>7.7561</v>
      </c>
      <c r="O109" s="37">
        <v>8.2066999999999997</v>
      </c>
      <c r="P109" s="37">
        <v>8.2291999999999987</v>
      </c>
      <c r="Q109" s="37">
        <v>8.2291999999999987</v>
      </c>
      <c r="R109" s="37">
        <v>8.2291999999999987</v>
      </c>
      <c r="S109" s="37">
        <v>8.2291999999999987</v>
      </c>
      <c r="T109" s="37">
        <v>8.2291999999999987</v>
      </c>
      <c r="U109" s="37">
        <v>8.2291999999999987</v>
      </c>
      <c r="V109" s="37">
        <v>8.2291999999999987</v>
      </c>
      <c r="W109" s="37">
        <v>8.2291999999999987</v>
      </c>
      <c r="X109" s="37">
        <v>8.0792000000000002</v>
      </c>
      <c r="Y109" s="37">
        <v>8.0792000000000002</v>
      </c>
      <c r="Z109" s="37">
        <v>8.0792000000000002</v>
      </c>
      <c r="AA109" s="37">
        <v>8.0792000000000002</v>
      </c>
      <c r="AB109" s="37">
        <v>8.0792000000000002</v>
      </c>
      <c r="AC109" s="37">
        <v>8.0792000000000002</v>
      </c>
      <c r="AD109" s="37">
        <v>8.0792000000000002</v>
      </c>
      <c r="AE109" s="37">
        <v>8.0775000000000006</v>
      </c>
      <c r="AF109" s="37">
        <v>8.0775000000000006</v>
      </c>
      <c r="AG109" s="37">
        <v>8.0775000000000006</v>
      </c>
      <c r="AH109" s="37">
        <v>7.9725000000000001</v>
      </c>
      <c r="AI109" s="37">
        <v>7.9725000000000001</v>
      </c>
      <c r="AJ109" s="37">
        <v>7.9725000000000001</v>
      </c>
      <c r="AK109" s="37">
        <v>7.2225000000000001</v>
      </c>
      <c r="AL109" s="37">
        <v>7.2225000000000001</v>
      </c>
      <c r="AM109" s="37">
        <v>6.6224999999999996</v>
      </c>
      <c r="AN109" s="37">
        <v>6.6224999999999996</v>
      </c>
      <c r="AO109" s="37">
        <v>3.0074999999999998</v>
      </c>
      <c r="AP109" s="37">
        <v>1.5075000000000001</v>
      </c>
      <c r="AQ109" s="37">
        <v>0.69750000000000001</v>
      </c>
      <c r="AR109" s="37">
        <v>0.47249999999999998</v>
      </c>
      <c r="AS109" s="37">
        <v>2.2499999999999999E-2</v>
      </c>
      <c r="AT109" s="37">
        <v>0</v>
      </c>
      <c r="AU109" s="37">
        <v>0</v>
      </c>
      <c r="AV109" s="37">
        <v>0</v>
      </c>
      <c r="AW109" s="37">
        <v>0</v>
      </c>
      <c r="AX109" s="37">
        <v>0</v>
      </c>
      <c r="AY109" s="37">
        <v>0</v>
      </c>
    </row>
    <row r="110" spans="2:51" ht="17" customHeight="1" x14ac:dyDescent="0.45">
      <c r="B110" s="33" t="s">
        <v>108</v>
      </c>
      <c r="C110" s="29" t="s">
        <v>5</v>
      </c>
      <c r="D110" s="19" t="str">
        <f>IF('TECHNOLOGY REGISTER'!B60="","",'TECHNOLOGY REGISTER'!B60)</f>
        <v>PWRDIST</v>
      </c>
      <c r="E110" s="32" t="s">
        <v>100</v>
      </c>
      <c r="F110" s="36">
        <v>3.4160413888379253</v>
      </c>
      <c r="G110" s="36">
        <v>3.5197519313210748</v>
      </c>
      <c r="H110" s="36">
        <v>3.7157026316518253</v>
      </c>
      <c r="I110" s="36">
        <v>3.9315135226112083</v>
      </c>
      <c r="J110" s="36">
        <v>4.1742862921316313</v>
      </c>
      <c r="K110" s="36">
        <v>4.4090918129063876</v>
      </c>
      <c r="L110" s="36">
        <v>4.6352689873064534</v>
      </c>
      <c r="M110" s="36">
        <v>4.8975816218002075</v>
      </c>
      <c r="N110" s="36">
        <v>5.1515726046956223</v>
      </c>
      <c r="O110" s="36">
        <v>5.4310192540282181</v>
      </c>
      <c r="P110" s="36">
        <v>5.7200279649435073</v>
      </c>
      <c r="Q110" s="36">
        <v>6.0182238882703949</v>
      </c>
      <c r="R110" s="36">
        <v>6.3782562939492315</v>
      </c>
      <c r="S110" s="36">
        <v>6.7537733781140847</v>
      </c>
      <c r="T110" s="36">
        <v>7.1520063220473773</v>
      </c>
      <c r="U110" s="36">
        <v>7.5738479483202648</v>
      </c>
      <c r="V110" s="36">
        <v>8.0187939144116385</v>
      </c>
      <c r="W110" s="36">
        <v>8.480853449023428</v>
      </c>
      <c r="X110" s="36">
        <v>8.9731326422650586</v>
      </c>
      <c r="Y110" s="36">
        <v>9.4932460903204632</v>
      </c>
      <c r="Z110" s="36">
        <v>10.042652297237176</v>
      </c>
      <c r="AA110" s="36">
        <v>10.623027861125925</v>
      </c>
      <c r="AB110" s="36">
        <v>11.236192504326393</v>
      </c>
      <c r="AC110" s="36">
        <v>11.883938687420368</v>
      </c>
      <c r="AD110" s="36">
        <v>12.568188364339655</v>
      </c>
      <c r="AE110" s="36">
        <v>13.290972536047644</v>
      </c>
      <c r="AF110" s="36">
        <v>13.849041166536422</v>
      </c>
      <c r="AG110" s="36">
        <v>14.407102981585725</v>
      </c>
      <c r="AH110" s="36">
        <v>14.965171612074503</v>
      </c>
      <c r="AI110" s="36">
        <v>15.523240242563283</v>
      </c>
      <c r="AJ110" s="36">
        <v>16.081302057612586</v>
      </c>
      <c r="AK110" s="36">
        <v>16.639370688101366</v>
      </c>
      <c r="AL110" s="36">
        <v>17.197439318590142</v>
      </c>
      <c r="AM110" s="36">
        <v>17.755501133639445</v>
      </c>
      <c r="AN110" s="36">
        <v>18.313569764128225</v>
      </c>
      <c r="AO110" s="36">
        <v>18.871638394617001</v>
      </c>
      <c r="AP110" s="36">
        <v>19.429700209666304</v>
      </c>
      <c r="AQ110" s="36">
        <v>19.987768840155084</v>
      </c>
      <c r="AR110" s="36">
        <v>20.54583747064386</v>
      </c>
      <c r="AS110" s="36">
        <v>21.10390610113264</v>
      </c>
      <c r="AT110" s="36">
        <v>21.661967916181943</v>
      </c>
      <c r="AU110" s="36">
        <v>22.22003654667072</v>
      </c>
      <c r="AV110" s="36">
        <v>22.778098361720023</v>
      </c>
      <c r="AW110" s="36">
        <v>23.336166992208803</v>
      </c>
      <c r="AX110" s="36">
        <v>23.894235622697582</v>
      </c>
      <c r="AY110" s="36">
        <v>24.452304253186359</v>
      </c>
    </row>
    <row r="111" spans="2:51" ht="17" customHeight="1" x14ac:dyDescent="0.45">
      <c r="B111" s="8" t="s">
        <v>108</v>
      </c>
      <c r="C111" s="30" t="s">
        <v>5</v>
      </c>
      <c r="D111" s="17" t="str">
        <f>IF('TECHNOLOGY REGISTER'!B61="","",'TECHNOLOGY REGISTER'!B61)</f>
        <v>PWRGEO</v>
      </c>
      <c r="E111" s="24" t="s">
        <v>100</v>
      </c>
      <c r="F111" s="37">
        <v>148.99350000000001</v>
      </c>
      <c r="G111" s="37">
        <v>158.73080000000004</v>
      </c>
      <c r="H111" s="37">
        <v>156.78150000000002</v>
      </c>
      <c r="I111" s="37">
        <v>167.91660000000002</v>
      </c>
      <c r="J111" s="37">
        <v>196.0463</v>
      </c>
      <c r="K111" s="37">
        <v>198.78510000000003</v>
      </c>
      <c r="L111" s="37">
        <v>217.08600000000001</v>
      </c>
      <c r="M111" s="37">
        <v>219.76670000000001</v>
      </c>
      <c r="N111" s="37">
        <v>221.8263</v>
      </c>
      <c r="O111" s="37">
        <v>244.7809</v>
      </c>
      <c r="P111" s="37">
        <v>248.72990000000001</v>
      </c>
      <c r="Q111" s="37">
        <v>273.42570000000001</v>
      </c>
      <c r="R111" s="37">
        <v>292.78070000000002</v>
      </c>
      <c r="S111" s="37">
        <v>306.92750000000001</v>
      </c>
      <c r="T111" s="37">
        <v>342.13369999999998</v>
      </c>
      <c r="U111" s="37">
        <v>398.64890000000003</v>
      </c>
      <c r="V111" s="37">
        <v>386.98989999999998</v>
      </c>
      <c r="W111" s="37">
        <v>392.48199999999997</v>
      </c>
      <c r="X111" s="37">
        <v>390.928</v>
      </c>
      <c r="Y111" s="37">
        <v>397.10669999999999</v>
      </c>
      <c r="Z111" s="37">
        <v>379.03300000000002</v>
      </c>
      <c r="AA111" s="37">
        <v>386.5847</v>
      </c>
      <c r="AB111" s="37">
        <v>381.67470000000003</v>
      </c>
      <c r="AC111" s="37">
        <v>386.53100000000001</v>
      </c>
      <c r="AD111" s="37">
        <v>396.8288</v>
      </c>
      <c r="AE111" s="37">
        <v>399.13540000000006</v>
      </c>
      <c r="AF111" s="37">
        <v>406.00060000000008</v>
      </c>
      <c r="AG111" s="37">
        <v>412.86580000000009</v>
      </c>
      <c r="AH111" s="37">
        <v>419.73110000000008</v>
      </c>
      <c r="AI111" s="37">
        <v>426.5963000000001</v>
      </c>
      <c r="AJ111" s="37">
        <v>433.45420000000007</v>
      </c>
      <c r="AK111" s="37">
        <v>440.24880000000007</v>
      </c>
      <c r="AL111" s="37">
        <v>447.08660000000003</v>
      </c>
      <c r="AM111" s="37">
        <v>453.92470000000003</v>
      </c>
      <c r="AN111" s="37">
        <v>460.76300000000003</v>
      </c>
      <c r="AO111" s="37">
        <v>467.60400000000004</v>
      </c>
      <c r="AP111" s="37">
        <v>474.44420000000002</v>
      </c>
      <c r="AQ111" s="37">
        <v>481.28280000000001</v>
      </c>
      <c r="AR111" s="37">
        <v>488.12130000000002</v>
      </c>
      <c r="AS111" s="37">
        <v>494.95950000000005</v>
      </c>
      <c r="AT111" s="37">
        <v>501.79790000000003</v>
      </c>
      <c r="AU111" s="37">
        <v>508.63610000000006</v>
      </c>
      <c r="AV111" s="37">
        <v>515.47440000000006</v>
      </c>
      <c r="AW111" s="37">
        <v>522.3125</v>
      </c>
      <c r="AX111" s="37">
        <v>529.15070000000003</v>
      </c>
      <c r="AY111" s="37">
        <v>535.99</v>
      </c>
    </row>
    <row r="112" spans="2:51" ht="17" customHeight="1" x14ac:dyDescent="0.45">
      <c r="B112" s="33" t="s">
        <v>108</v>
      </c>
      <c r="C112" s="29" t="s">
        <v>5</v>
      </c>
      <c r="D112" s="19" t="str">
        <f>IF('TECHNOLOGY REGISTER'!B62="","",'TECHNOLOGY REGISTER'!B62)</f>
        <v>PWRHYD</v>
      </c>
      <c r="E112" s="32" t="s">
        <v>100</v>
      </c>
      <c r="F112" s="36">
        <v>23.1462</v>
      </c>
      <c r="G112" s="36">
        <v>23.1462</v>
      </c>
      <c r="H112" s="36">
        <v>23.1462</v>
      </c>
      <c r="I112" s="36">
        <v>23.1462</v>
      </c>
      <c r="J112" s="36">
        <v>23.1462</v>
      </c>
      <c r="K112" s="36">
        <v>23.1462</v>
      </c>
      <c r="L112" s="36">
        <v>23.1462</v>
      </c>
      <c r="M112" s="36">
        <v>23.1462</v>
      </c>
      <c r="N112" s="36">
        <v>23.1462</v>
      </c>
      <c r="O112" s="36">
        <v>23.1462</v>
      </c>
      <c r="P112" s="36">
        <v>23.1462</v>
      </c>
      <c r="Q112" s="36">
        <v>23.1462</v>
      </c>
      <c r="R112" s="36">
        <v>23.1462</v>
      </c>
      <c r="S112" s="36">
        <v>23.1462</v>
      </c>
      <c r="T112" s="36">
        <v>23.1462</v>
      </c>
      <c r="U112" s="36">
        <v>23.1462</v>
      </c>
      <c r="V112" s="36">
        <v>23.1462</v>
      </c>
      <c r="W112" s="36">
        <v>72.296700000000001</v>
      </c>
      <c r="X112" s="36">
        <v>72.296700000000001</v>
      </c>
      <c r="Y112" s="36">
        <v>72.296700000000001</v>
      </c>
      <c r="Z112" s="36">
        <v>72.296700000000001</v>
      </c>
      <c r="AA112" s="36">
        <v>72.296700000000001</v>
      </c>
      <c r="AB112" s="36">
        <v>72.296700000000001</v>
      </c>
      <c r="AC112" s="36">
        <v>72.296700000000001</v>
      </c>
      <c r="AD112" s="36">
        <v>72.296700000000001</v>
      </c>
      <c r="AE112" s="36">
        <v>72.296700000000001</v>
      </c>
      <c r="AF112" s="36">
        <v>72.296700000000001</v>
      </c>
      <c r="AG112" s="36">
        <v>72.296700000000001</v>
      </c>
      <c r="AH112" s="36">
        <v>72.296700000000001</v>
      </c>
      <c r="AI112" s="36">
        <v>72.296700000000016</v>
      </c>
      <c r="AJ112" s="36">
        <v>72.296700000000001</v>
      </c>
      <c r="AK112" s="36">
        <v>72.296700000000001</v>
      </c>
      <c r="AL112" s="36">
        <v>72.296700000000001</v>
      </c>
      <c r="AM112" s="36">
        <v>72.296700000000001</v>
      </c>
      <c r="AN112" s="36">
        <v>72.296700000000001</v>
      </c>
      <c r="AO112" s="36">
        <v>72.296700000000001</v>
      </c>
      <c r="AP112" s="36">
        <v>72.296700000000001</v>
      </c>
      <c r="AQ112" s="36">
        <v>72.296700000000001</v>
      </c>
      <c r="AR112" s="36">
        <v>72.296700000000001</v>
      </c>
      <c r="AS112" s="36">
        <v>72.296699999999987</v>
      </c>
      <c r="AT112" s="36">
        <v>72.296700000000001</v>
      </c>
      <c r="AU112" s="36">
        <v>72.296699999999987</v>
      </c>
      <c r="AV112" s="36">
        <v>72.296700000000001</v>
      </c>
      <c r="AW112" s="36">
        <v>72.296700000000001</v>
      </c>
      <c r="AX112" s="36">
        <v>72.296700000000001</v>
      </c>
      <c r="AY112" s="36">
        <v>72.296700000000001</v>
      </c>
    </row>
    <row r="113" spans="2:51" ht="17" customHeight="1" x14ac:dyDescent="0.45">
      <c r="B113" s="8" t="s">
        <v>108</v>
      </c>
      <c r="C113" s="30" t="s">
        <v>5</v>
      </c>
      <c r="D113" s="17" t="str">
        <f>IF('TECHNOLOGY REGISTER'!B63="","",'TECHNOLOGY REGISTER'!B63)</f>
        <v>PWRNGS</v>
      </c>
      <c r="E113" s="24" t="s">
        <v>100</v>
      </c>
      <c r="F113" s="37">
        <v>0</v>
      </c>
      <c r="G113" s="37">
        <v>0</v>
      </c>
      <c r="H113" s="37">
        <v>2.0238999999999998</v>
      </c>
      <c r="I113" s="37">
        <v>2.508</v>
      </c>
      <c r="J113" s="37">
        <v>2.508</v>
      </c>
      <c r="K113" s="37">
        <v>3.9291999999999998</v>
      </c>
      <c r="L113" s="37">
        <v>3.9291999999999998</v>
      </c>
      <c r="M113" s="37">
        <v>3.9291999999999998</v>
      </c>
      <c r="N113" s="37">
        <v>3.9291999999999998</v>
      </c>
      <c r="O113" s="37">
        <v>3.9291999999999998</v>
      </c>
      <c r="P113" s="37">
        <v>3.9676999999999998</v>
      </c>
      <c r="Q113" s="37">
        <v>4.0230999999999995</v>
      </c>
      <c r="R113" s="37">
        <v>4.1964999999999995</v>
      </c>
      <c r="S113" s="37">
        <v>4.1912000000000003</v>
      </c>
      <c r="T113" s="37">
        <v>4.0766999999999998</v>
      </c>
      <c r="U113" s="37">
        <v>3.9291999999999998</v>
      </c>
      <c r="V113" s="37">
        <v>3.9291999999999998</v>
      </c>
      <c r="W113" s="37">
        <v>3.9291999999999998</v>
      </c>
      <c r="X113" s="37">
        <v>3.9291999999999998</v>
      </c>
      <c r="Y113" s="37">
        <v>3.9291999999999998</v>
      </c>
      <c r="Z113" s="37">
        <v>3.9291999999999998</v>
      </c>
      <c r="AA113" s="37">
        <v>3.9291999999999998</v>
      </c>
      <c r="AB113" s="37">
        <v>1.9053</v>
      </c>
      <c r="AC113" s="37">
        <v>1.4212</v>
      </c>
      <c r="AD113" s="37">
        <v>1.4212</v>
      </c>
      <c r="AE113" s="37">
        <v>0</v>
      </c>
      <c r="AF113" s="37">
        <v>0</v>
      </c>
      <c r="AG113" s="37">
        <v>0</v>
      </c>
      <c r="AH113" s="37">
        <v>0</v>
      </c>
      <c r="AI113" s="37">
        <v>0</v>
      </c>
      <c r="AJ113" s="37">
        <v>0</v>
      </c>
      <c r="AK113" s="37">
        <v>0</v>
      </c>
      <c r="AL113" s="37">
        <v>0</v>
      </c>
      <c r="AM113" s="37">
        <v>0</v>
      </c>
      <c r="AN113" s="37">
        <v>0</v>
      </c>
      <c r="AO113" s="37">
        <v>0</v>
      </c>
      <c r="AP113" s="37">
        <v>0</v>
      </c>
      <c r="AQ113" s="37">
        <v>0</v>
      </c>
      <c r="AR113" s="37">
        <v>0</v>
      </c>
      <c r="AS113" s="37">
        <v>0</v>
      </c>
      <c r="AT113" s="37">
        <v>0</v>
      </c>
      <c r="AU113" s="37">
        <v>0</v>
      </c>
      <c r="AV113" s="37">
        <v>0</v>
      </c>
      <c r="AW113" s="37">
        <v>0</v>
      </c>
      <c r="AX113" s="37">
        <v>0</v>
      </c>
      <c r="AY113" s="37">
        <v>0</v>
      </c>
    </row>
    <row r="114" spans="2:51" ht="17" customHeight="1" x14ac:dyDescent="0.45">
      <c r="B114" s="33" t="s">
        <v>108</v>
      </c>
      <c r="C114" s="29" t="s">
        <v>5</v>
      </c>
      <c r="D114" s="19" t="str">
        <f>IF('TECHNOLOGY REGISTER'!B64="","",'TECHNOLOGY REGISTER'!B64)</f>
        <v>PWRPHS</v>
      </c>
      <c r="E114" s="32" t="s">
        <v>100</v>
      </c>
      <c r="F114" s="36">
        <v>0</v>
      </c>
      <c r="G114" s="36">
        <v>0</v>
      </c>
      <c r="H114" s="36">
        <v>0</v>
      </c>
      <c r="I114" s="36">
        <v>0</v>
      </c>
      <c r="J114" s="36">
        <v>0</v>
      </c>
      <c r="K114" s="36">
        <v>0</v>
      </c>
      <c r="L114" s="36">
        <v>0</v>
      </c>
      <c r="M114" s="36">
        <v>0</v>
      </c>
      <c r="N114" s="36">
        <v>0</v>
      </c>
      <c r="O114" s="36">
        <v>3.4377999999999997</v>
      </c>
      <c r="P114" s="36">
        <v>6.2011000000000003</v>
      </c>
      <c r="Q114" s="36">
        <v>8.0910999999999991</v>
      </c>
      <c r="R114" s="36">
        <v>9.1287000000000003</v>
      </c>
      <c r="S114" s="36">
        <v>9.0981000000000005</v>
      </c>
      <c r="T114" s="36">
        <v>9.0998999999999999</v>
      </c>
      <c r="U114" s="36">
        <v>9.2838000000000012</v>
      </c>
      <c r="V114" s="36">
        <v>9.2961000000000009</v>
      </c>
      <c r="W114" s="36">
        <v>9.2861000000000011</v>
      </c>
      <c r="X114" s="36">
        <v>9.2954000000000008</v>
      </c>
      <c r="Y114" s="36">
        <v>9.3070000000000004</v>
      </c>
      <c r="Z114" s="36">
        <v>9.3193999999999999</v>
      </c>
      <c r="AA114" s="36">
        <v>9.331900000000001</v>
      </c>
      <c r="AB114" s="36">
        <v>9.3926999999999996</v>
      </c>
      <c r="AC114" s="36">
        <v>9.4410000000000007</v>
      </c>
      <c r="AD114" s="36">
        <v>9.4723000000000006</v>
      </c>
      <c r="AE114" s="36">
        <v>9.5766000000000009</v>
      </c>
      <c r="AF114" s="36">
        <v>9.6121999999999996</v>
      </c>
      <c r="AG114" s="36">
        <v>9.654300000000001</v>
      </c>
      <c r="AH114" s="36">
        <v>9.6638999999999999</v>
      </c>
      <c r="AI114" s="36">
        <v>9.6718000000000011</v>
      </c>
      <c r="AJ114" s="36">
        <v>9.6757000000000009</v>
      </c>
      <c r="AK114" s="36">
        <v>9.6759000000000004</v>
      </c>
      <c r="AL114" s="36">
        <v>9.6760000000000002</v>
      </c>
      <c r="AM114" s="36">
        <v>9.676400000000001</v>
      </c>
      <c r="AN114" s="36">
        <v>9.6766000000000005</v>
      </c>
      <c r="AO114" s="36">
        <v>9.6776</v>
      </c>
      <c r="AP114" s="36">
        <v>9.6768000000000001</v>
      </c>
      <c r="AQ114" s="36">
        <v>9.6771000000000011</v>
      </c>
      <c r="AR114" s="36">
        <v>9.6774000000000004</v>
      </c>
      <c r="AS114" s="36">
        <v>9.6776999999999997</v>
      </c>
      <c r="AT114" s="36">
        <v>9.6779000000000011</v>
      </c>
      <c r="AU114" s="36">
        <v>9.6781000000000006</v>
      </c>
      <c r="AV114" s="36">
        <v>9.6783000000000001</v>
      </c>
      <c r="AW114" s="36">
        <v>9.6784999999999997</v>
      </c>
      <c r="AX114" s="36">
        <v>9.678700000000001</v>
      </c>
      <c r="AY114" s="36">
        <v>9.6806999999999999</v>
      </c>
    </row>
    <row r="115" spans="2:51" ht="17" customHeight="1" x14ac:dyDescent="0.45">
      <c r="B115" s="8" t="s">
        <v>108</v>
      </c>
      <c r="C115" s="30" t="s">
        <v>5</v>
      </c>
      <c r="D115" s="17" t="str">
        <f>IF('TECHNOLOGY REGISTER'!B65="","",'TECHNOLOGY REGISTER'!B65)</f>
        <v>PWRSOL</v>
      </c>
      <c r="E115" s="24" t="s">
        <v>100</v>
      </c>
      <c r="F115" s="37">
        <v>5.6630999999999991</v>
      </c>
      <c r="G115" s="37">
        <v>6.3908000000000005</v>
      </c>
      <c r="H115" s="37">
        <v>6.2216000000000014</v>
      </c>
      <c r="I115" s="37">
        <v>6.0582000000000003</v>
      </c>
      <c r="J115" s="37">
        <v>5.9006999999999987</v>
      </c>
      <c r="K115" s="37">
        <v>5.743100000000001</v>
      </c>
      <c r="L115" s="37">
        <v>5.5944000000000003</v>
      </c>
      <c r="M115" s="37">
        <v>5.4456000000000007</v>
      </c>
      <c r="N115" s="37">
        <v>5.3026</v>
      </c>
      <c r="O115" s="37">
        <v>5.1625000000000005</v>
      </c>
      <c r="P115" s="37">
        <v>5.0253999999999994</v>
      </c>
      <c r="Q115" s="37">
        <v>4.8941999999999997</v>
      </c>
      <c r="R115" s="37">
        <v>4.7658000000000005</v>
      </c>
      <c r="S115" s="37">
        <v>3.8410000000000002</v>
      </c>
      <c r="T115" s="37">
        <v>3.7396000000000003</v>
      </c>
      <c r="U115" s="37">
        <v>3.6406000000000001</v>
      </c>
      <c r="V115" s="37">
        <v>4.884500000000001</v>
      </c>
      <c r="W115" s="37">
        <v>4.2815000000000003</v>
      </c>
      <c r="X115" s="37">
        <v>3.6558999999999995</v>
      </c>
      <c r="Y115" s="37">
        <v>3.0528999999999997</v>
      </c>
      <c r="Z115" s="37">
        <v>3.0528999999999997</v>
      </c>
      <c r="AA115" s="37">
        <v>2.4499</v>
      </c>
      <c r="AB115" s="37">
        <v>2.4499</v>
      </c>
      <c r="AC115" s="37">
        <v>2.4499</v>
      </c>
      <c r="AD115" s="37">
        <v>2.4499</v>
      </c>
      <c r="AE115" s="37">
        <v>3.6119000000000003</v>
      </c>
      <c r="AF115" s="37">
        <v>7.2081</v>
      </c>
      <c r="AG115" s="37">
        <v>10.476599999999999</v>
      </c>
      <c r="AH115" s="37">
        <v>13.869400000000001</v>
      </c>
      <c r="AI115" s="37">
        <v>14.2636</v>
      </c>
      <c r="AJ115" s="37">
        <v>15.3147</v>
      </c>
      <c r="AK115" s="37">
        <v>16.749400000000001</v>
      </c>
      <c r="AL115" s="37">
        <v>16.997499999999999</v>
      </c>
      <c r="AM115" s="37">
        <v>17.236499999999999</v>
      </c>
      <c r="AN115" s="37">
        <v>17.581899999999997</v>
      </c>
      <c r="AO115" s="37">
        <v>17.6477</v>
      </c>
      <c r="AP115" s="37">
        <v>17.254799999999999</v>
      </c>
      <c r="AQ115" s="37">
        <v>17.537600000000001</v>
      </c>
      <c r="AR115" s="37">
        <v>17.865500000000001</v>
      </c>
      <c r="AS115" s="37">
        <v>18.176099999999998</v>
      </c>
      <c r="AT115" s="37">
        <v>18.5198</v>
      </c>
      <c r="AU115" s="37">
        <v>18.865099999999998</v>
      </c>
      <c r="AV115" s="37">
        <v>19.210500000000003</v>
      </c>
      <c r="AW115" s="37">
        <v>19.555900000000001</v>
      </c>
      <c r="AX115" s="37">
        <v>19.901299999999999</v>
      </c>
      <c r="AY115" s="37">
        <v>20.251899999999999</v>
      </c>
    </row>
    <row r="116" spans="2:51" ht="17" customHeight="1" x14ac:dyDescent="0.45">
      <c r="B116" s="33" t="s">
        <v>108</v>
      </c>
      <c r="C116" s="29" t="s">
        <v>5</v>
      </c>
      <c r="D116" s="19" t="str">
        <f>IF('TECHNOLOGY REGISTER'!B66="","",'TECHNOLOGY REGISTER'!B66)</f>
        <v>PWRTRN</v>
      </c>
      <c r="E116" s="32" t="s">
        <v>100</v>
      </c>
      <c r="F116" s="36">
        <v>4.323751416210877</v>
      </c>
      <c r="G116" s="36">
        <v>4.4496963797330853</v>
      </c>
      <c r="H116" s="36">
        <v>4.6923051512664342</v>
      </c>
      <c r="I116" s="36">
        <v>4.9589087190442687</v>
      </c>
      <c r="J116" s="36">
        <v>5.2594217645511083</v>
      </c>
      <c r="K116" s="36">
        <v>5.5492440592559493</v>
      </c>
      <c r="L116" s="36">
        <v>5.8269660078678625</v>
      </c>
      <c r="M116" s="36">
        <v>6.1500642543282567</v>
      </c>
      <c r="N116" s="36">
        <v>6.4620282818052379</v>
      </c>
      <c r="O116" s="36">
        <v>6.8044807467545834</v>
      </c>
      <c r="P116" s="36">
        <v>7.1588593381541576</v>
      </c>
      <c r="Q116" s="36">
        <v>7.5231446919635836</v>
      </c>
      <c r="R116" s="36">
        <v>7.9646410237874434</v>
      </c>
      <c r="S116" s="36">
        <v>8.4245016897667355</v>
      </c>
      <c r="T116" s="36">
        <v>8.9107249553162884</v>
      </c>
      <c r="U116" s="36">
        <v>9.4261933636153081</v>
      </c>
      <c r="V116" s="36">
        <v>9.9692835043568238</v>
      </c>
      <c r="W116" s="36">
        <v>10.531331909853884</v>
      </c>
      <c r="X116" s="36">
        <v>11.13074250963526</v>
      </c>
      <c r="Y116" s="36">
        <v>11.76210657570261</v>
      </c>
      <c r="Z116" s="36">
        <v>12.429565784107377</v>
      </c>
      <c r="AA116" s="36">
        <v>13.133896204167032</v>
      </c>
      <c r="AB116" s="36">
        <v>13.875747200004367</v>
      </c>
      <c r="AC116" s="36">
        <v>14.660076112361644</v>
      </c>
      <c r="AD116" s="36">
        <v>15.48773028222835</v>
      </c>
      <c r="AE116" s="36">
        <v>16.359327397428608</v>
      </c>
      <c r="AF116" s="36">
        <v>17.046227934143673</v>
      </c>
      <c r="AG116" s="36">
        <v>17.733128470858738</v>
      </c>
      <c r="AH116" s="36">
        <v>18.420029007573799</v>
      </c>
      <c r="AI116" s="36">
        <v>19.106929544288864</v>
      </c>
      <c r="AJ116" s="36">
        <v>19.793830081003929</v>
      </c>
      <c r="AK116" s="36">
        <v>20.48073061771899</v>
      </c>
      <c r="AL116" s="36">
        <v>21.167631154434059</v>
      </c>
      <c r="AM116" s="36">
        <v>21.854539610223792</v>
      </c>
      <c r="AN116" s="36">
        <v>22.541440146938854</v>
      </c>
      <c r="AO116" s="36">
        <v>23.228340683653915</v>
      </c>
      <c r="AP116" s="36">
        <v>23.915241220368983</v>
      </c>
      <c r="AQ116" s="36">
        <v>24.602141757084045</v>
      </c>
      <c r="AR116" s="36">
        <v>25.28904229379911</v>
      </c>
      <c r="AS116" s="36">
        <v>25.975942830514175</v>
      </c>
      <c r="AT116" s="36">
        <v>26.66284336722924</v>
      </c>
      <c r="AU116" s="36">
        <v>27.349751823018973</v>
      </c>
      <c r="AV116" s="36">
        <v>28.036652359734035</v>
      </c>
      <c r="AW116" s="36">
        <v>28.723552896449103</v>
      </c>
      <c r="AX116" s="36">
        <v>29.410453433164164</v>
      </c>
      <c r="AY116" s="36">
        <v>30.097353969879233</v>
      </c>
    </row>
    <row r="117" spans="2:51" ht="17" customHeight="1" x14ac:dyDescent="0.45">
      <c r="B117" s="8" t="s">
        <v>108</v>
      </c>
      <c r="C117" s="30" t="s">
        <v>5</v>
      </c>
      <c r="D117" s="17" t="str">
        <f>IF('TECHNOLOGY REGISTER'!B67="","",'TECHNOLOGY REGISTER'!B67)</f>
        <v>PWRWND</v>
      </c>
      <c r="E117" s="24" t="s">
        <v>100</v>
      </c>
      <c r="F117" s="37">
        <v>32.565399999999997</v>
      </c>
      <c r="G117" s="37">
        <v>36.1738</v>
      </c>
      <c r="H117" s="37">
        <v>38.818100000000001</v>
      </c>
      <c r="I117" s="37">
        <v>45.696799999999996</v>
      </c>
      <c r="J117" s="37">
        <v>45.540699999999994</v>
      </c>
      <c r="K117" s="37">
        <v>61.188599999999994</v>
      </c>
      <c r="L117" s="37">
        <v>60.98</v>
      </c>
      <c r="M117" s="37">
        <v>77.24130000000001</v>
      </c>
      <c r="N117" s="37">
        <v>99.492500000000007</v>
      </c>
      <c r="O117" s="37">
        <v>99.150100000000009</v>
      </c>
      <c r="P117" s="37">
        <v>113.49119999999999</v>
      </c>
      <c r="Q117" s="37">
        <v>113.11369999999999</v>
      </c>
      <c r="R117" s="37">
        <v>118.5872</v>
      </c>
      <c r="S117" s="37">
        <v>142.90570000000002</v>
      </c>
      <c r="T117" s="37">
        <v>135.32490000000001</v>
      </c>
      <c r="U117" s="37">
        <v>134.86860000000001</v>
      </c>
      <c r="V117" s="37">
        <v>163.21889999999999</v>
      </c>
      <c r="W117" s="37">
        <v>201.15419999999997</v>
      </c>
      <c r="X117" s="37">
        <v>243.91639999999998</v>
      </c>
      <c r="Y117" s="37">
        <v>276.42449999999997</v>
      </c>
      <c r="Z117" s="37">
        <v>334.2568</v>
      </c>
      <c r="AA117" s="37">
        <v>368.25849999999997</v>
      </c>
      <c r="AB117" s="37">
        <v>418.30149999999998</v>
      </c>
      <c r="AC117" s="37">
        <v>460.77409999999998</v>
      </c>
      <c r="AD117" s="37">
        <v>495.3587</v>
      </c>
      <c r="AE117" s="37">
        <v>549.4248</v>
      </c>
      <c r="AF117" s="37">
        <v>572.86009999999999</v>
      </c>
      <c r="AG117" s="37">
        <v>594.87509999999997</v>
      </c>
      <c r="AH117" s="37">
        <v>612.47469999999998</v>
      </c>
      <c r="AI117" s="37">
        <v>641.02779999999996</v>
      </c>
      <c r="AJ117" s="37">
        <v>667.12210000000005</v>
      </c>
      <c r="AK117" s="37">
        <v>696.59950000000003</v>
      </c>
      <c r="AL117" s="37">
        <v>727.88120000000004</v>
      </c>
      <c r="AM117" s="37">
        <v>759.22149999999999</v>
      </c>
      <c r="AN117" s="37">
        <v>790.35080000000005</v>
      </c>
      <c r="AO117" s="37">
        <v>822.18550000000005</v>
      </c>
      <c r="AP117" s="37">
        <v>855.81510000000003</v>
      </c>
      <c r="AQ117" s="37">
        <v>887.10239999999999</v>
      </c>
      <c r="AR117" s="37">
        <v>918.27559999999994</v>
      </c>
      <c r="AS117" s="37">
        <v>949.49260000000004</v>
      </c>
      <c r="AT117" s="37">
        <v>980.62630000000001</v>
      </c>
      <c r="AU117" s="37">
        <v>1011.7556</v>
      </c>
      <c r="AV117" s="37">
        <v>1042.8848</v>
      </c>
      <c r="AW117" s="37">
        <v>1074.0141000000001</v>
      </c>
      <c r="AX117" s="37">
        <v>1105.1433999999999</v>
      </c>
      <c r="AY117" s="37">
        <v>1136.1189999999999</v>
      </c>
    </row>
    <row r="118" spans="2:51" ht="17" customHeight="1" x14ac:dyDescent="0.45">
      <c r="B118" s="33" t="s">
        <v>108</v>
      </c>
      <c r="C118" s="29" t="s">
        <v>5</v>
      </c>
      <c r="D118" s="19" t="str">
        <f>IF('TECHNOLOGY REGISTER'!B68="","",'TECHNOLOGY REGISTER'!B68)</f>
        <v>PWRHFO</v>
      </c>
      <c r="E118" s="32" t="s">
        <v>100</v>
      </c>
      <c r="F118" s="36">
        <v>24.260300000000001</v>
      </c>
      <c r="G118" s="36">
        <v>16.9422</v>
      </c>
      <c r="H118" s="36">
        <v>18.270400000000002</v>
      </c>
      <c r="I118" s="36">
        <v>18.528600000000001</v>
      </c>
      <c r="J118" s="36">
        <v>17.980800000000002</v>
      </c>
      <c r="K118" s="36">
        <v>14.9764</v>
      </c>
      <c r="L118" s="36">
        <v>11.450099999999999</v>
      </c>
      <c r="M118" s="36">
        <v>11.6318</v>
      </c>
      <c r="N118" s="36">
        <v>11.335899999999999</v>
      </c>
      <c r="O118" s="36">
        <v>4.2727000000000004</v>
      </c>
      <c r="P118" s="36">
        <v>2.774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</row>
    <row r="119" spans="2:51" ht="17" customHeight="1" x14ac:dyDescent="0.45">
      <c r="B119" s="8" t="s">
        <v>108</v>
      </c>
      <c r="C119" s="30" t="s">
        <v>5</v>
      </c>
      <c r="D119" s="17" t="str">
        <f>IF('TECHNOLOGY REGISTER'!B69="","",'TECHNOLOGY REGISTER'!B69)</f>
        <v>PWRIMP</v>
      </c>
      <c r="E119" s="24" t="s">
        <v>100</v>
      </c>
      <c r="F119" s="37">
        <v>80.360799999999998</v>
      </c>
      <c r="G119" s="37">
        <v>66.217600000000004</v>
      </c>
      <c r="H119" s="37">
        <v>89.798299999999998</v>
      </c>
      <c r="I119" s="37">
        <v>84.322400000000002</v>
      </c>
      <c r="J119" s="37">
        <v>63.594999999999999</v>
      </c>
      <c r="K119" s="37">
        <v>49.860700000000001</v>
      </c>
      <c r="L119" s="37">
        <v>45.892499999999998</v>
      </c>
      <c r="M119" s="37">
        <v>45.9925</v>
      </c>
      <c r="N119" s="37">
        <v>45.8508</v>
      </c>
      <c r="O119" s="37">
        <v>46.975499999999997</v>
      </c>
      <c r="P119" s="37">
        <v>51.979100000000003</v>
      </c>
      <c r="Q119" s="37">
        <v>43.988599999999998</v>
      </c>
      <c r="R119" s="37">
        <v>47.8063</v>
      </c>
      <c r="S119" s="37">
        <v>46.863900000000001</v>
      </c>
      <c r="T119" s="37">
        <v>58.771099999999997</v>
      </c>
      <c r="U119" s="37">
        <v>24.819199999999999</v>
      </c>
      <c r="V119" s="37">
        <v>28.322199999999999</v>
      </c>
      <c r="W119" s="37">
        <v>32.125300000000003</v>
      </c>
      <c r="X119" s="37">
        <v>33.772100000000002</v>
      </c>
      <c r="Y119" s="37">
        <v>35.597900000000003</v>
      </c>
      <c r="Z119" s="37">
        <v>39.3324</v>
      </c>
      <c r="AA119" s="37">
        <v>42.9343</v>
      </c>
      <c r="AB119" s="37">
        <v>38.841099999999997</v>
      </c>
      <c r="AC119" s="37">
        <v>37.872599999999998</v>
      </c>
      <c r="AD119" s="37">
        <v>43.0274</v>
      </c>
      <c r="AE119" s="37">
        <v>42.179600000000001</v>
      </c>
      <c r="AF119" s="37">
        <v>47.241399999999999</v>
      </c>
      <c r="AG119" s="37">
        <v>60.15</v>
      </c>
      <c r="AH119" s="37">
        <v>80.426000000000002</v>
      </c>
      <c r="AI119" s="37">
        <v>79.836799999999997</v>
      </c>
      <c r="AJ119" s="37">
        <v>84.217600000000004</v>
      </c>
      <c r="AK119" s="37">
        <v>89.945499999999996</v>
      </c>
      <c r="AL119" s="37">
        <v>87.096199999999996</v>
      </c>
      <c r="AM119" s="37">
        <v>84.832700000000003</v>
      </c>
      <c r="AN119" s="37">
        <v>83.340800000000002</v>
      </c>
      <c r="AO119" s="37">
        <v>82.243799999999993</v>
      </c>
      <c r="AP119" s="37">
        <v>83.115899999999996</v>
      </c>
      <c r="AQ119" s="37">
        <v>81.712400000000002</v>
      </c>
      <c r="AR119" s="37">
        <v>80.245099999999994</v>
      </c>
      <c r="AS119" s="37">
        <v>78.802300000000002</v>
      </c>
      <c r="AT119" s="37">
        <v>77.312799999999996</v>
      </c>
      <c r="AU119" s="37">
        <v>75.820899999999995</v>
      </c>
      <c r="AV119" s="37">
        <v>74.328999999999994</v>
      </c>
      <c r="AW119" s="37">
        <v>72.837100000000007</v>
      </c>
      <c r="AX119" s="37">
        <v>71.345100000000002</v>
      </c>
      <c r="AY119" s="37">
        <v>70.559299999999993</v>
      </c>
    </row>
    <row r="120" spans="2:51" ht="17" customHeight="1" x14ac:dyDescent="0.45">
      <c r="B120" s="33" t="s">
        <v>108</v>
      </c>
      <c r="C120" s="29" t="s">
        <v>5</v>
      </c>
      <c r="D120" s="19" t="str">
        <f>IF('TECHNOLOGY REGISTER'!B70="","",'TECHNOLOGY REGISTER'!B70)</f>
        <v>PWRURN</v>
      </c>
      <c r="E120" s="32" t="s">
        <v>100</v>
      </c>
      <c r="F120" s="36">
        <v>0</v>
      </c>
      <c r="G120" s="36">
        <v>0</v>
      </c>
      <c r="H120" s="36">
        <v>0</v>
      </c>
      <c r="I120" s="36">
        <v>0</v>
      </c>
      <c r="J120" s="36">
        <v>0</v>
      </c>
      <c r="K120" s="36">
        <v>0</v>
      </c>
      <c r="L120" s="36">
        <v>0</v>
      </c>
      <c r="M120" s="36">
        <v>0</v>
      </c>
      <c r="N120" s="36">
        <v>0</v>
      </c>
      <c r="O120" s="36">
        <v>0</v>
      </c>
      <c r="P120" s="36">
        <v>0</v>
      </c>
      <c r="Q120" s="36">
        <v>0</v>
      </c>
      <c r="R120" s="36">
        <v>0</v>
      </c>
      <c r="S120" s="36">
        <v>0</v>
      </c>
      <c r="T120" s="36">
        <v>0</v>
      </c>
      <c r="U120" s="36">
        <v>0</v>
      </c>
      <c r="V120" s="36">
        <v>0</v>
      </c>
      <c r="W120" s="36">
        <v>0</v>
      </c>
      <c r="X120" s="36">
        <v>0</v>
      </c>
      <c r="Y120" s="36">
        <v>0</v>
      </c>
      <c r="Z120" s="36">
        <v>0</v>
      </c>
      <c r="AA120" s="36">
        <v>0</v>
      </c>
      <c r="AB120" s="36">
        <v>0</v>
      </c>
      <c r="AC120" s="36">
        <v>0</v>
      </c>
      <c r="AD120" s="36">
        <v>0</v>
      </c>
      <c r="AE120" s="36">
        <v>0</v>
      </c>
      <c r="AF120" s="36">
        <v>0</v>
      </c>
      <c r="AG120" s="36">
        <v>0</v>
      </c>
      <c r="AH120" s="36">
        <v>2.3534000000000002</v>
      </c>
      <c r="AI120" s="36">
        <v>8.5313999999999997</v>
      </c>
      <c r="AJ120" s="36">
        <v>14.0524</v>
      </c>
      <c r="AK120" s="36">
        <v>15.725300000000001</v>
      </c>
      <c r="AL120" s="36">
        <v>20.751999999999999</v>
      </c>
      <c r="AM120" s="36">
        <v>25.471800000000002</v>
      </c>
      <c r="AN120" s="36">
        <v>29.818100000000001</v>
      </c>
      <c r="AO120" s="36">
        <v>33.886200000000002</v>
      </c>
      <c r="AP120" s="36">
        <v>35.796999999999997</v>
      </c>
      <c r="AQ120" s="36">
        <v>40.0809</v>
      </c>
      <c r="AR120" s="36">
        <v>44.4099</v>
      </c>
      <c r="AS120" s="36">
        <v>48.721600000000002</v>
      </c>
      <c r="AT120" s="36">
        <v>53.066199999999995</v>
      </c>
      <c r="AU120" s="36">
        <v>57.412500000000001</v>
      </c>
      <c r="AV120" s="36">
        <v>61.758900000000004</v>
      </c>
      <c r="AW120" s="36">
        <v>66.105099999999993</v>
      </c>
      <c r="AX120" s="36">
        <v>70.45150000000001</v>
      </c>
      <c r="AY120" s="36">
        <v>74.6571</v>
      </c>
    </row>
    <row r="121" spans="2:51" ht="17" customHeight="1" x14ac:dyDescent="0.45">
      <c r="B121" s="8" t="s">
        <v>108</v>
      </c>
      <c r="C121" s="30" t="s">
        <v>5</v>
      </c>
      <c r="D121" s="17" t="str">
        <f>IF('TECHNOLOGY REGISTER'!B71="","",'TECHNOLOGY REGISTER'!B71)</f>
        <v>PWRLFO</v>
      </c>
      <c r="E121" s="24" t="s">
        <v>100</v>
      </c>
      <c r="F121" s="37">
        <v>0</v>
      </c>
      <c r="G121" s="37">
        <v>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37">
        <v>0</v>
      </c>
      <c r="P121" s="37">
        <v>0</v>
      </c>
      <c r="Q121" s="37">
        <v>0</v>
      </c>
      <c r="R121" s="37">
        <v>0</v>
      </c>
      <c r="S121" s="37">
        <v>0</v>
      </c>
      <c r="T121" s="37">
        <v>0</v>
      </c>
      <c r="U121" s="37">
        <v>0</v>
      </c>
      <c r="V121" s="37">
        <v>0</v>
      </c>
      <c r="W121" s="37">
        <v>0</v>
      </c>
      <c r="X121" s="37">
        <v>0</v>
      </c>
      <c r="Y121" s="37">
        <v>0</v>
      </c>
      <c r="Z121" s="37">
        <v>0</v>
      </c>
      <c r="AA121" s="37">
        <v>0</v>
      </c>
      <c r="AB121" s="37">
        <v>0</v>
      </c>
      <c r="AC121" s="37">
        <v>0</v>
      </c>
      <c r="AD121" s="37">
        <v>0</v>
      </c>
      <c r="AE121" s="37">
        <v>0</v>
      </c>
      <c r="AF121" s="37">
        <v>0</v>
      </c>
      <c r="AG121" s="37">
        <v>0</v>
      </c>
      <c r="AH121" s="37">
        <v>0</v>
      </c>
      <c r="AI121" s="37">
        <v>0</v>
      </c>
      <c r="AJ121" s="37">
        <v>0</v>
      </c>
      <c r="AK121" s="37">
        <v>0</v>
      </c>
      <c r="AL121" s="37">
        <v>0</v>
      </c>
      <c r="AM121" s="37">
        <v>0</v>
      </c>
      <c r="AN121" s="37">
        <v>0</v>
      </c>
      <c r="AO121" s="37">
        <v>0</v>
      </c>
      <c r="AP121" s="37">
        <v>0</v>
      </c>
      <c r="AQ121" s="37">
        <v>0</v>
      </c>
      <c r="AR121" s="37">
        <v>0</v>
      </c>
      <c r="AS121" s="37">
        <v>0</v>
      </c>
      <c r="AT121" s="37">
        <v>0</v>
      </c>
      <c r="AU121" s="37">
        <v>0</v>
      </c>
      <c r="AV121" s="37">
        <v>0</v>
      </c>
      <c r="AW121" s="37">
        <v>0</v>
      </c>
      <c r="AX121" s="37">
        <v>0</v>
      </c>
      <c r="AY121" s="37">
        <v>0</v>
      </c>
    </row>
    <row r="122" spans="2:51" ht="17" customHeight="1" x14ac:dyDescent="0.45">
      <c r="B122" s="33" t="s">
        <v>108</v>
      </c>
      <c r="C122" s="29" t="s">
        <v>5</v>
      </c>
      <c r="D122" s="19" t="str">
        <f>IF('TECHNOLOGY REGISTER'!B72="","",'TECHNOLOGY REGISTER'!B72)</f>
        <v>PWRHYD16</v>
      </c>
      <c r="E122" s="32" t="s">
        <v>100</v>
      </c>
      <c r="F122" s="36">
        <v>0.76479999999999992</v>
      </c>
      <c r="G122" s="36">
        <v>1.4056</v>
      </c>
      <c r="H122" s="36">
        <v>1.6897</v>
      </c>
      <c r="I122" s="36">
        <v>1.7699</v>
      </c>
      <c r="J122" s="36">
        <v>1.9609999999999999</v>
      </c>
      <c r="K122" s="36">
        <v>2.9068000000000001</v>
      </c>
      <c r="L122" s="36">
        <v>3.6328</v>
      </c>
      <c r="M122" s="36">
        <v>4.1029999999999998</v>
      </c>
      <c r="N122" s="36">
        <v>4.9349999999999996</v>
      </c>
      <c r="O122" s="36">
        <v>5.5834999999999999</v>
      </c>
      <c r="P122" s="36">
        <v>6.4025999999999996</v>
      </c>
      <c r="Q122" s="36">
        <v>7.1234000000000002</v>
      </c>
      <c r="R122" s="36">
        <v>7.2164999999999999</v>
      </c>
      <c r="S122" s="36">
        <v>7.3172999999999995</v>
      </c>
      <c r="T122" s="36">
        <v>7.4258000000000006</v>
      </c>
      <c r="U122" s="36">
        <v>7.5472000000000001</v>
      </c>
      <c r="V122" s="36">
        <v>7.6790000000000003</v>
      </c>
      <c r="W122" s="36">
        <v>7.8236999999999997</v>
      </c>
      <c r="X122" s="36">
        <v>7.9813000000000001</v>
      </c>
      <c r="Y122" s="36">
        <v>8.1517999999999997</v>
      </c>
      <c r="Z122" s="36">
        <v>8.3405000000000005</v>
      </c>
      <c r="AA122" s="36">
        <v>8.5472000000000001</v>
      </c>
      <c r="AB122" s="36">
        <v>8.7719000000000005</v>
      </c>
      <c r="AC122" s="36">
        <v>9.0174000000000003</v>
      </c>
      <c r="AD122" s="36">
        <v>9.2860999999999994</v>
      </c>
      <c r="AE122" s="36">
        <v>9.5807000000000002</v>
      </c>
      <c r="AF122" s="36">
        <v>9.7769999999999992</v>
      </c>
      <c r="AG122" s="36">
        <v>9.9733999999999998</v>
      </c>
      <c r="AH122" s="36">
        <v>10.1698</v>
      </c>
      <c r="AI122" s="36">
        <v>10.366100000000001</v>
      </c>
      <c r="AJ122" s="36">
        <v>10.5625</v>
      </c>
      <c r="AK122" s="36">
        <v>10.758799999999999</v>
      </c>
      <c r="AL122" s="36">
        <v>10.955299999999999</v>
      </c>
      <c r="AM122" s="36">
        <v>11.1516</v>
      </c>
      <c r="AN122" s="36">
        <v>11.348000000000001</v>
      </c>
      <c r="AO122" s="36">
        <v>11.5443</v>
      </c>
      <c r="AP122" s="36">
        <v>11.7408</v>
      </c>
      <c r="AQ122" s="36">
        <v>11.937099999999999</v>
      </c>
      <c r="AR122" s="36">
        <v>12.1334</v>
      </c>
      <c r="AS122" s="36">
        <v>12.329800000000001</v>
      </c>
      <c r="AT122" s="36">
        <v>12.526199999999999</v>
      </c>
      <c r="AU122" s="36">
        <v>12.7226</v>
      </c>
      <c r="AV122" s="36">
        <v>12.918899999999999</v>
      </c>
      <c r="AW122" s="36">
        <v>13.115300000000001</v>
      </c>
      <c r="AX122" s="36">
        <v>13.3116</v>
      </c>
      <c r="AY122" s="36">
        <v>13.507999999999999</v>
      </c>
    </row>
    <row r="123" spans="2:51" ht="15" customHeight="1" x14ac:dyDescent="0.45">
      <c r="B123" s="8" t="s">
        <v>108</v>
      </c>
      <c r="C123" s="30" t="s">
        <v>5</v>
      </c>
      <c r="D123" s="17" t="str">
        <f>IF('TECHNOLOGY REGISTER'!B73="","",'TECHNOLOGY REGISTER'!B73)</f>
        <v/>
      </c>
      <c r="E123" s="24" t="s">
        <v>100</v>
      </c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</row>
    <row r="124" spans="2:51" ht="15" customHeight="1" x14ac:dyDescent="0.45">
      <c r="B124" s="33" t="s">
        <v>108</v>
      </c>
      <c r="C124" s="29" t="s">
        <v>5</v>
      </c>
      <c r="D124" s="19" t="str">
        <f>IF('TECHNOLOGY REGISTER'!B74="","",'TECHNOLOGY REGISTER'!B74)</f>
        <v/>
      </c>
      <c r="E124" s="32" t="s">
        <v>100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</row>
    <row r="125" spans="2:51" ht="15" customHeight="1" x14ac:dyDescent="0.45">
      <c r="B125" s="8" t="s">
        <v>108</v>
      </c>
      <c r="C125" s="30" t="s">
        <v>5</v>
      </c>
      <c r="D125" s="17" t="str">
        <f>IF('TECHNOLOGY REGISTER'!B75="","",'TECHNOLOGY REGISTER'!B75)</f>
        <v/>
      </c>
      <c r="E125" s="24" t="s">
        <v>100</v>
      </c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</row>
    <row r="126" spans="2:51" ht="15" customHeight="1" x14ac:dyDescent="0.45">
      <c r="B126" s="33" t="s">
        <v>108</v>
      </c>
      <c r="C126" s="29" t="s">
        <v>5</v>
      </c>
      <c r="D126" s="19" t="str">
        <f>IF('TECHNOLOGY REGISTER'!B76="","",'TECHNOLOGY REGISTER'!B76)</f>
        <v/>
      </c>
      <c r="E126" s="32" t="s">
        <v>100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</row>
    <row r="127" spans="2:51" ht="15" customHeight="1" x14ac:dyDescent="0.45">
      <c r="B127" s="8" t="s">
        <v>108</v>
      </c>
      <c r="C127" s="30" t="s">
        <v>5</v>
      </c>
      <c r="D127" s="17" t="str">
        <f>IF('TECHNOLOGY REGISTER'!B77="","",'TECHNOLOGY REGISTER'!B77)</f>
        <v/>
      </c>
      <c r="E127" s="24" t="s">
        <v>100</v>
      </c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</row>
    <row r="128" spans="2:51" ht="15" customHeight="1" x14ac:dyDescent="0.45">
      <c r="B128" s="33" t="s">
        <v>108</v>
      </c>
      <c r="C128" s="29" t="s">
        <v>5</v>
      </c>
      <c r="D128" s="19" t="str">
        <f>IF('TECHNOLOGY REGISTER'!B78="","",'TECHNOLOGY REGISTER'!B78)</f>
        <v/>
      </c>
      <c r="E128" s="32" t="s">
        <v>100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</row>
    <row r="129" spans="2:51" ht="15" customHeight="1" x14ac:dyDescent="0.45">
      <c r="B129" s="8" t="s">
        <v>108</v>
      </c>
      <c r="C129" s="30" t="s">
        <v>5</v>
      </c>
      <c r="D129" s="17" t="str">
        <f>IF('TECHNOLOGY REGISTER'!B79="","",'TECHNOLOGY REGISTER'!B79)</f>
        <v/>
      </c>
      <c r="E129" s="24" t="s">
        <v>100</v>
      </c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</row>
    <row r="130" spans="2:51" ht="15" customHeight="1" x14ac:dyDescent="0.45">
      <c r="B130" s="33" t="s">
        <v>108</v>
      </c>
      <c r="C130" s="29" t="s">
        <v>5</v>
      </c>
      <c r="D130" s="19" t="str">
        <f>IF('TECHNOLOGY REGISTER'!B80="","",'TECHNOLOGY REGISTER'!B80)</f>
        <v/>
      </c>
      <c r="E130" s="32" t="s">
        <v>100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</row>
    <row r="131" spans="2:51" ht="15" customHeight="1" x14ac:dyDescent="0.45">
      <c r="B131" s="8" t="s">
        <v>108</v>
      </c>
      <c r="C131" s="30" t="s">
        <v>5</v>
      </c>
      <c r="D131" s="17" t="str">
        <f>IF('TECHNOLOGY REGISTER'!B81="","",'TECHNOLOGY REGISTER'!B81)</f>
        <v/>
      </c>
      <c r="E131" s="24" t="s">
        <v>100</v>
      </c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</row>
    <row r="132" spans="2:51" ht="15" customHeight="1" x14ac:dyDescent="0.45">
      <c r="B132" s="33" t="s">
        <v>108</v>
      </c>
      <c r="C132" s="29" t="s">
        <v>5</v>
      </c>
      <c r="D132" s="19" t="str">
        <f>IF('TECHNOLOGY REGISTER'!B82="","",'TECHNOLOGY REGISTER'!B82)</f>
        <v/>
      </c>
      <c r="E132" s="32" t="s">
        <v>100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</row>
    <row r="133" spans="2:51" ht="15" customHeight="1" x14ac:dyDescent="0.45">
      <c r="B133" s="8" t="s">
        <v>108</v>
      </c>
      <c r="C133" s="30" t="s">
        <v>5</v>
      </c>
      <c r="D133" s="17" t="str">
        <f>IF('TECHNOLOGY REGISTER'!B83="","",'TECHNOLOGY REGISTER'!B83)</f>
        <v/>
      </c>
      <c r="E133" s="24" t="s">
        <v>100</v>
      </c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</row>
    <row r="134" spans="2:51" ht="15" customHeight="1" x14ac:dyDescent="0.45">
      <c r="B134" s="33" t="s">
        <v>108</v>
      </c>
      <c r="C134" s="29" t="s">
        <v>5</v>
      </c>
      <c r="D134" s="19" t="str">
        <f>IF('TECHNOLOGY REGISTER'!B84="","",'TECHNOLOGY REGISTER'!B84)</f>
        <v/>
      </c>
      <c r="E134" s="32" t="s">
        <v>100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</row>
    <row r="135" spans="2:51" ht="15" customHeight="1" x14ac:dyDescent="0.45">
      <c r="B135" s="8" t="s">
        <v>108</v>
      </c>
      <c r="C135" s="30" t="s">
        <v>5</v>
      </c>
      <c r="D135" s="17" t="str">
        <f>IF('TECHNOLOGY REGISTER'!B85="","",'TECHNOLOGY REGISTER'!B85)</f>
        <v/>
      </c>
      <c r="E135" s="24" t="s">
        <v>100</v>
      </c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</row>
    <row r="136" spans="2:51" ht="15" customHeight="1" x14ac:dyDescent="0.45">
      <c r="B136" s="33" t="s">
        <v>108</v>
      </c>
      <c r="C136" s="29" t="s">
        <v>5</v>
      </c>
      <c r="D136" s="19" t="str">
        <f>IF('TECHNOLOGY REGISTER'!B86="","",'TECHNOLOGY REGISTER'!B86)</f>
        <v/>
      </c>
      <c r="E136" s="32" t="s">
        <v>100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</row>
    <row r="137" spans="2:51" ht="15" customHeight="1" x14ac:dyDescent="0.45">
      <c r="B137" s="8" t="s">
        <v>108</v>
      </c>
      <c r="C137" s="30" t="s">
        <v>5</v>
      </c>
      <c r="D137" s="17" t="str">
        <f>IF('TECHNOLOGY REGISTER'!B87="","",'TECHNOLOGY REGISTER'!B87)</f>
        <v/>
      </c>
      <c r="E137" s="24" t="s">
        <v>100</v>
      </c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</row>
    <row r="138" spans="2:51" ht="15" customHeight="1" x14ac:dyDescent="0.45">
      <c r="B138" s="33" t="s">
        <v>108</v>
      </c>
      <c r="C138" s="29" t="s">
        <v>5</v>
      </c>
      <c r="D138" s="19" t="str">
        <f>IF('TECHNOLOGY REGISTER'!B88="","",'TECHNOLOGY REGISTER'!B88)</f>
        <v/>
      </c>
      <c r="E138" s="32" t="s">
        <v>100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</row>
    <row r="139" spans="2:51" ht="15" customHeight="1" x14ac:dyDescent="0.45">
      <c r="B139" s="8" t="s">
        <v>108</v>
      </c>
      <c r="C139" s="30" t="s">
        <v>5</v>
      </c>
      <c r="D139" s="17" t="str">
        <f>IF('TECHNOLOGY REGISTER'!B89="","",'TECHNOLOGY REGISTER'!B89)</f>
        <v/>
      </c>
      <c r="E139" s="24" t="s">
        <v>100</v>
      </c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</row>
    <row r="140" spans="2:51" ht="15" customHeight="1" x14ac:dyDescent="0.45">
      <c r="B140" s="33" t="s">
        <v>108</v>
      </c>
      <c r="C140" s="29" t="s">
        <v>5</v>
      </c>
      <c r="D140" s="19" t="str">
        <f>IF('TECHNOLOGY REGISTER'!B90="","",'TECHNOLOGY REGISTER'!B90)</f>
        <v/>
      </c>
      <c r="E140" s="32" t="s">
        <v>100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</row>
    <row r="141" spans="2:51" ht="15" customHeight="1" x14ac:dyDescent="0.45">
      <c r="B141" s="8" t="s">
        <v>108</v>
      </c>
      <c r="C141" s="30" t="s">
        <v>5</v>
      </c>
      <c r="D141" s="17" t="str">
        <f>IF('TECHNOLOGY REGISTER'!B91="","",'TECHNOLOGY REGISTER'!B91)</f>
        <v/>
      </c>
      <c r="E141" s="24" t="s">
        <v>100</v>
      </c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</row>
    <row r="142" spans="2:51" ht="15" customHeight="1" x14ac:dyDescent="0.45">
      <c r="B142" s="33" t="s">
        <v>108</v>
      </c>
      <c r="C142" s="29" t="s">
        <v>5</v>
      </c>
      <c r="D142" s="19" t="str">
        <f>IF('TECHNOLOGY REGISTER'!B92="","",'TECHNOLOGY REGISTER'!B92)</f>
        <v/>
      </c>
      <c r="E142" s="32" t="s">
        <v>100</v>
      </c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</row>
    <row r="143" spans="2:51" ht="15" customHeight="1" x14ac:dyDescent="0.45">
      <c r="B143" s="8" t="s">
        <v>108</v>
      </c>
      <c r="C143" s="30" t="s">
        <v>5</v>
      </c>
      <c r="D143" s="17" t="str">
        <f>IF('TECHNOLOGY REGISTER'!B93="","",'TECHNOLOGY REGISTER'!B93)</f>
        <v/>
      </c>
      <c r="E143" s="24" t="s">
        <v>100</v>
      </c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</row>
    <row r="144" spans="2:51" ht="15" customHeight="1" x14ac:dyDescent="0.45">
      <c r="B144" s="33" t="s">
        <v>108</v>
      </c>
      <c r="C144" s="29" t="s">
        <v>5</v>
      </c>
      <c r="D144" s="19" t="str">
        <f>IF('TECHNOLOGY REGISTER'!B94="","",'TECHNOLOGY REGISTER'!B94)</f>
        <v/>
      </c>
      <c r="E144" s="32" t="s">
        <v>100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</row>
    <row r="145" spans="2:51" ht="15" customHeight="1" x14ac:dyDescent="0.45">
      <c r="B145" s="8" t="s">
        <v>108</v>
      </c>
      <c r="C145" s="30" t="s">
        <v>5</v>
      </c>
      <c r="D145" s="17" t="str">
        <f>IF('TECHNOLOGY REGISTER'!B95="","",'TECHNOLOGY REGISTER'!B95)</f>
        <v/>
      </c>
      <c r="E145" s="24" t="s">
        <v>100</v>
      </c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</row>
    <row r="146" spans="2:51" ht="15" customHeight="1" x14ac:dyDescent="0.45">
      <c r="B146" s="33" t="s">
        <v>108</v>
      </c>
      <c r="C146" s="29" t="s">
        <v>5</v>
      </c>
      <c r="D146" s="19" t="str">
        <f>IF('TECHNOLOGY REGISTER'!B96="","",'TECHNOLOGY REGISTER'!B96)</f>
        <v/>
      </c>
      <c r="E146" s="32" t="s">
        <v>100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</row>
    <row r="147" spans="2:51" ht="15" customHeight="1" x14ac:dyDescent="0.45">
      <c r="B147" s="8" t="s">
        <v>108</v>
      </c>
      <c r="C147" s="30" t="s">
        <v>5</v>
      </c>
      <c r="D147" s="17" t="str">
        <f>IF('TECHNOLOGY REGISTER'!B97="","",'TECHNOLOGY REGISTER'!B97)</f>
        <v/>
      </c>
      <c r="E147" s="24" t="s">
        <v>100</v>
      </c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</row>
    <row r="148" spans="2:51" ht="15" customHeight="1" x14ac:dyDescent="0.45">
      <c r="B148" s="33" t="s">
        <v>108</v>
      </c>
      <c r="C148" s="29" t="s">
        <v>5</v>
      </c>
      <c r="D148" s="19" t="str">
        <f>IF('TECHNOLOGY REGISTER'!B98="","",'TECHNOLOGY REGISTER'!B98)</f>
        <v/>
      </c>
      <c r="E148" s="32" t="s">
        <v>100</v>
      </c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</row>
    <row r="149" spans="2:51" ht="15" customHeight="1" x14ac:dyDescent="0.45">
      <c r="B149" s="8" t="s">
        <v>108</v>
      </c>
      <c r="C149" s="30" t="s">
        <v>5</v>
      </c>
      <c r="D149" s="17" t="str">
        <f>IF('TECHNOLOGY REGISTER'!B99="","",'TECHNOLOGY REGISTER'!B99)</f>
        <v/>
      </c>
      <c r="E149" s="24" t="s">
        <v>100</v>
      </c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</row>
    <row r="150" spans="2:51" ht="15" customHeight="1" x14ac:dyDescent="0.45">
      <c r="B150" s="33" t="s">
        <v>108</v>
      </c>
      <c r="C150" s="29" t="s">
        <v>5</v>
      </c>
      <c r="D150" s="19" t="str">
        <f>IF('TECHNOLOGY REGISTER'!B100="","",'TECHNOLOGY REGISTER'!B100)</f>
        <v/>
      </c>
      <c r="E150" s="32" t="s">
        <v>100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</row>
    <row r="151" spans="2:51" ht="15" customHeight="1" x14ac:dyDescent="0.45">
      <c r="B151" s="8" t="s">
        <v>108</v>
      </c>
      <c r="C151" s="30" t="s">
        <v>5</v>
      </c>
      <c r="D151" s="17" t="str">
        <f>IF('TECHNOLOGY REGISTER'!B101="","",'TECHNOLOGY REGISTER'!B101)</f>
        <v/>
      </c>
      <c r="E151" s="24" t="s">
        <v>100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</row>
    <row r="152" spans="2:51" ht="15" customHeight="1" x14ac:dyDescent="0.45">
      <c r="B152" s="33" t="s">
        <v>108</v>
      </c>
      <c r="C152" s="29" t="s">
        <v>5</v>
      </c>
      <c r="D152" s="19" t="str">
        <f>IF('TECHNOLOGY REGISTER'!B102="","",'TECHNOLOGY REGISTER'!B102)</f>
        <v/>
      </c>
      <c r="E152" s="32" t="s">
        <v>100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</row>
    <row r="153" spans="2:51" ht="15" customHeight="1" x14ac:dyDescent="0.45">
      <c r="B153" s="8" t="s">
        <v>108</v>
      </c>
      <c r="C153" s="30" t="s">
        <v>5</v>
      </c>
      <c r="D153" s="17" t="str">
        <f>IF('TECHNOLOGY REGISTER'!B103="","",'TECHNOLOGY REGISTER'!B103)</f>
        <v/>
      </c>
      <c r="E153" s="24" t="s">
        <v>100</v>
      </c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</row>
    <row r="154" spans="2:51" ht="15" customHeight="1" x14ac:dyDescent="0.45">
      <c r="B154" s="33" t="s">
        <v>108</v>
      </c>
      <c r="C154" s="29" t="s">
        <v>5</v>
      </c>
      <c r="D154" s="19" t="str">
        <f>IF('TECHNOLOGY REGISTER'!B104="","",'TECHNOLOGY REGISTER'!B104)</f>
        <v/>
      </c>
      <c r="E154" s="32" t="s">
        <v>100</v>
      </c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</row>
    <row r="155" spans="2:51" ht="15" customHeight="1" x14ac:dyDescent="0.45">
      <c r="B155" s="8" t="s">
        <v>108</v>
      </c>
      <c r="C155" s="30" t="s">
        <v>5</v>
      </c>
      <c r="D155" s="17" t="str">
        <f>IF('TECHNOLOGY REGISTER'!B105="","",'TECHNOLOGY REGISTER'!B105)</f>
        <v/>
      </c>
      <c r="E155" s="24" t="s">
        <v>100</v>
      </c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</row>
    <row r="156" spans="2:51" ht="15" customHeight="1" x14ac:dyDescent="0.45">
      <c r="B156" s="33" t="s">
        <v>108</v>
      </c>
      <c r="C156" s="29" t="s">
        <v>5</v>
      </c>
      <c r="D156" s="19" t="str">
        <f>IF('TECHNOLOGY REGISTER'!B106="","",'TECHNOLOGY REGISTER'!B106)</f>
        <v/>
      </c>
      <c r="E156" s="32" t="s">
        <v>100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</row>
    <row r="157" spans="2:51" ht="15" customHeight="1" thickBot="1" x14ac:dyDescent="0.5">
      <c r="B157" s="8" t="s">
        <v>108</v>
      </c>
      <c r="C157" s="30" t="s">
        <v>5</v>
      </c>
      <c r="D157" s="17" t="str">
        <f>IF('TECHNOLOGY REGISTER'!B107="","",'TECHNOLOGY REGISTER'!B107)</f>
        <v/>
      </c>
      <c r="E157" s="24" t="s">
        <v>100</v>
      </c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</row>
    <row r="158" spans="2:51" ht="20" customHeight="1" x14ac:dyDescent="0.45">
      <c r="B158" s="69" t="s">
        <v>118</v>
      </c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</row>
    <row r="159" spans="2:51" ht="17" customHeight="1" x14ac:dyDescent="0.45">
      <c r="B159" s="33" t="s">
        <v>107</v>
      </c>
      <c r="C159" s="29" t="s">
        <v>5</v>
      </c>
      <c r="D159" s="19" t="str">
        <f>IF('TECHNOLOGY REGISTER'!B58="","",'TECHNOLOGY REGISTER'!B58)</f>
        <v>BESS_TECH</v>
      </c>
      <c r="E159" s="32" t="s">
        <v>120</v>
      </c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</row>
    <row r="160" spans="2:51" ht="17" customHeight="1" x14ac:dyDescent="0.45">
      <c r="B160" s="8" t="s">
        <v>107</v>
      </c>
      <c r="C160" s="30" t="s">
        <v>5</v>
      </c>
      <c r="D160" s="17" t="str">
        <f>IF('TECHNOLOGY REGISTER'!B59="","",'TECHNOLOGY REGISTER'!B59)</f>
        <v>PWRBIO</v>
      </c>
      <c r="E160" s="24" t="s">
        <v>120</v>
      </c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</row>
    <row r="161" spans="2:51" ht="17" customHeight="1" x14ac:dyDescent="0.45">
      <c r="B161" s="33" t="s">
        <v>107</v>
      </c>
      <c r="C161" s="29" t="s">
        <v>5</v>
      </c>
      <c r="D161" s="19" t="str">
        <f>IF('TECHNOLOGY REGISTER'!B60="","",'TECHNOLOGY REGISTER'!B60)</f>
        <v>PWRDIST</v>
      </c>
      <c r="E161" s="32" t="s">
        <v>120</v>
      </c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</row>
    <row r="162" spans="2:51" ht="17" customHeight="1" x14ac:dyDescent="0.45">
      <c r="B162" s="8" t="s">
        <v>107</v>
      </c>
      <c r="C162" s="30" t="s">
        <v>5</v>
      </c>
      <c r="D162" s="17" t="str">
        <f>IF('TECHNOLOGY REGISTER'!B61="","",'TECHNOLOGY REGISTER'!B61)</f>
        <v>PWRGEO</v>
      </c>
      <c r="E162" s="24" t="s">
        <v>120</v>
      </c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</row>
    <row r="163" spans="2:51" ht="17" customHeight="1" x14ac:dyDescent="0.45">
      <c r="B163" s="33" t="s">
        <v>107</v>
      </c>
      <c r="C163" s="29" t="s">
        <v>5</v>
      </c>
      <c r="D163" s="19" t="str">
        <f>IF('TECHNOLOGY REGISTER'!B62="","",'TECHNOLOGY REGISTER'!B62)</f>
        <v>PWRHYD</v>
      </c>
      <c r="E163" s="32" t="s">
        <v>120</v>
      </c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</row>
    <row r="164" spans="2:51" ht="17" customHeight="1" x14ac:dyDescent="0.45">
      <c r="B164" s="8" t="s">
        <v>107</v>
      </c>
      <c r="C164" s="30" t="s">
        <v>5</v>
      </c>
      <c r="D164" s="17" t="str">
        <f>IF('TECHNOLOGY REGISTER'!B63="","",'TECHNOLOGY REGISTER'!B63)</f>
        <v>PWRNGS</v>
      </c>
      <c r="E164" s="24" t="s">
        <v>120</v>
      </c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</row>
    <row r="165" spans="2:51" ht="17" customHeight="1" x14ac:dyDescent="0.45">
      <c r="B165" s="33" t="s">
        <v>107</v>
      </c>
      <c r="C165" s="29" t="s">
        <v>5</v>
      </c>
      <c r="D165" s="19" t="str">
        <f>IF('TECHNOLOGY REGISTER'!B64="","",'TECHNOLOGY REGISTER'!B64)</f>
        <v>PWRPHS</v>
      </c>
      <c r="E165" s="32" t="s">
        <v>120</v>
      </c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</row>
    <row r="166" spans="2:51" ht="17" customHeight="1" x14ac:dyDescent="0.45">
      <c r="B166" s="8" t="s">
        <v>107</v>
      </c>
      <c r="C166" s="30" t="s">
        <v>5</v>
      </c>
      <c r="D166" s="17" t="str">
        <f>IF('TECHNOLOGY REGISTER'!B65="","",'TECHNOLOGY REGISTER'!B65)</f>
        <v>PWRSOL</v>
      </c>
      <c r="E166" s="24" t="s">
        <v>120</v>
      </c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</row>
    <row r="167" spans="2:51" ht="17" customHeight="1" x14ac:dyDescent="0.45">
      <c r="B167" s="33" t="s">
        <v>107</v>
      </c>
      <c r="C167" s="29" t="s">
        <v>5</v>
      </c>
      <c r="D167" s="19" t="str">
        <f>IF('TECHNOLOGY REGISTER'!B66="","",'TECHNOLOGY REGISTER'!B66)</f>
        <v>PWRTRN</v>
      </c>
      <c r="E167" s="32" t="s">
        <v>120</v>
      </c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</row>
    <row r="168" spans="2:51" ht="17" customHeight="1" x14ac:dyDescent="0.45">
      <c r="B168" s="8" t="s">
        <v>107</v>
      </c>
      <c r="C168" s="30" t="s">
        <v>5</v>
      </c>
      <c r="D168" s="17" t="str">
        <f>IF('TECHNOLOGY REGISTER'!B67="","",'TECHNOLOGY REGISTER'!B67)</f>
        <v>PWRWND</v>
      </c>
      <c r="E168" s="24" t="s">
        <v>120</v>
      </c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</row>
    <row r="169" spans="2:51" ht="17" customHeight="1" x14ac:dyDescent="0.45">
      <c r="B169" s="33" t="s">
        <v>107</v>
      </c>
      <c r="C169" s="29" t="s">
        <v>5</v>
      </c>
      <c r="D169" s="19" t="str">
        <f>IF('TECHNOLOGY REGISTER'!B68="","",'TECHNOLOGY REGISTER'!B68)</f>
        <v>PWRHFO</v>
      </c>
      <c r="E169" s="32" t="s">
        <v>120</v>
      </c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</row>
    <row r="170" spans="2:51" ht="17" customHeight="1" x14ac:dyDescent="0.45">
      <c r="B170" s="8" t="s">
        <v>107</v>
      </c>
      <c r="C170" s="30" t="s">
        <v>5</v>
      </c>
      <c r="D170" s="17" t="str">
        <f>IF('TECHNOLOGY REGISTER'!B69="","",'TECHNOLOGY REGISTER'!B69)</f>
        <v>PWRIMP</v>
      </c>
      <c r="E170" s="24" t="s">
        <v>120</v>
      </c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</row>
    <row r="171" spans="2:51" ht="17" customHeight="1" x14ac:dyDescent="0.45">
      <c r="B171" s="33" t="s">
        <v>107</v>
      </c>
      <c r="C171" s="29" t="s">
        <v>5</v>
      </c>
      <c r="D171" s="19" t="str">
        <f>IF('TECHNOLOGY REGISTER'!B70="","",'TECHNOLOGY REGISTER'!B70)</f>
        <v>PWRURN</v>
      </c>
      <c r="E171" s="32" t="s">
        <v>120</v>
      </c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</row>
    <row r="172" spans="2:51" ht="17" customHeight="1" x14ac:dyDescent="0.45">
      <c r="B172" s="8" t="s">
        <v>107</v>
      </c>
      <c r="C172" s="30" t="s">
        <v>5</v>
      </c>
      <c r="D172" s="17" t="str">
        <f>IF('TECHNOLOGY REGISTER'!B71="","",'TECHNOLOGY REGISTER'!B71)</f>
        <v>PWRLFO</v>
      </c>
      <c r="E172" s="24" t="s">
        <v>120</v>
      </c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</row>
    <row r="173" spans="2:51" ht="17" customHeight="1" x14ac:dyDescent="0.45">
      <c r="B173" s="33" t="s">
        <v>107</v>
      </c>
      <c r="C173" s="29" t="s">
        <v>5</v>
      </c>
      <c r="D173" s="19" t="str">
        <f>IF('TECHNOLOGY REGISTER'!B72="","",'TECHNOLOGY REGISTER'!B72)</f>
        <v>PWRHYD16</v>
      </c>
      <c r="E173" s="32" t="s">
        <v>120</v>
      </c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</row>
    <row r="174" spans="2:51" ht="15" customHeight="1" x14ac:dyDescent="0.45">
      <c r="B174" s="8" t="s">
        <v>107</v>
      </c>
      <c r="C174" s="30" t="s">
        <v>5</v>
      </c>
      <c r="D174" s="17" t="str">
        <f>IF('TECHNOLOGY REGISTER'!B73="","",'TECHNOLOGY REGISTER'!B73)</f>
        <v/>
      </c>
      <c r="E174" s="24" t="s">
        <v>120</v>
      </c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</row>
    <row r="175" spans="2:51" ht="15" customHeight="1" x14ac:dyDescent="0.45">
      <c r="B175" s="33" t="s">
        <v>107</v>
      </c>
      <c r="C175" s="29" t="s">
        <v>5</v>
      </c>
      <c r="D175" s="19" t="str">
        <f>IF('TECHNOLOGY REGISTER'!B74="","",'TECHNOLOGY REGISTER'!B74)</f>
        <v/>
      </c>
      <c r="E175" s="32" t="s">
        <v>120</v>
      </c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</row>
    <row r="176" spans="2:51" ht="15" customHeight="1" x14ac:dyDescent="0.45">
      <c r="B176" s="8" t="s">
        <v>107</v>
      </c>
      <c r="C176" s="30" t="s">
        <v>5</v>
      </c>
      <c r="D176" s="17" t="str">
        <f>IF('TECHNOLOGY REGISTER'!B75="","",'TECHNOLOGY REGISTER'!B75)</f>
        <v/>
      </c>
      <c r="E176" s="24" t="s">
        <v>120</v>
      </c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</row>
    <row r="177" spans="2:51" ht="15" customHeight="1" x14ac:dyDescent="0.45">
      <c r="B177" s="33" t="s">
        <v>107</v>
      </c>
      <c r="C177" s="29" t="s">
        <v>5</v>
      </c>
      <c r="D177" s="19" t="str">
        <f>IF('TECHNOLOGY REGISTER'!B76="","",'TECHNOLOGY REGISTER'!B76)</f>
        <v/>
      </c>
      <c r="E177" s="32" t="s">
        <v>120</v>
      </c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</row>
    <row r="178" spans="2:51" ht="15" customHeight="1" x14ac:dyDescent="0.45">
      <c r="B178" s="8" t="s">
        <v>107</v>
      </c>
      <c r="C178" s="30" t="s">
        <v>5</v>
      </c>
      <c r="D178" s="17" t="str">
        <f>IF('TECHNOLOGY REGISTER'!B77="","",'TECHNOLOGY REGISTER'!B77)</f>
        <v/>
      </c>
      <c r="E178" s="24" t="s">
        <v>120</v>
      </c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</row>
    <row r="179" spans="2:51" ht="15" customHeight="1" x14ac:dyDescent="0.45">
      <c r="B179" s="33" t="s">
        <v>107</v>
      </c>
      <c r="C179" s="29" t="s">
        <v>5</v>
      </c>
      <c r="D179" s="19" t="str">
        <f>IF('TECHNOLOGY REGISTER'!B78="","",'TECHNOLOGY REGISTER'!B78)</f>
        <v/>
      </c>
      <c r="E179" s="32" t="s">
        <v>120</v>
      </c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</row>
    <row r="180" spans="2:51" ht="15" customHeight="1" x14ac:dyDescent="0.45">
      <c r="B180" s="8" t="s">
        <v>107</v>
      </c>
      <c r="C180" s="30" t="s">
        <v>5</v>
      </c>
      <c r="D180" s="17" t="str">
        <f>IF('TECHNOLOGY REGISTER'!B79="","",'TECHNOLOGY REGISTER'!B79)</f>
        <v/>
      </c>
      <c r="E180" s="24" t="s">
        <v>120</v>
      </c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</row>
    <row r="181" spans="2:51" ht="15" customHeight="1" x14ac:dyDescent="0.45">
      <c r="B181" s="33" t="s">
        <v>107</v>
      </c>
      <c r="C181" s="29" t="s">
        <v>5</v>
      </c>
      <c r="D181" s="19" t="str">
        <f>IF('TECHNOLOGY REGISTER'!B80="","",'TECHNOLOGY REGISTER'!B80)</f>
        <v/>
      </c>
      <c r="E181" s="32" t="s">
        <v>120</v>
      </c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</row>
    <row r="182" spans="2:51" ht="15" customHeight="1" x14ac:dyDescent="0.45">
      <c r="B182" s="8" t="s">
        <v>107</v>
      </c>
      <c r="C182" s="30" t="s">
        <v>5</v>
      </c>
      <c r="D182" s="17" t="str">
        <f>IF('TECHNOLOGY REGISTER'!B81="","",'TECHNOLOGY REGISTER'!B81)</f>
        <v/>
      </c>
      <c r="E182" s="24" t="s">
        <v>120</v>
      </c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</row>
    <row r="183" spans="2:51" ht="15" customHeight="1" x14ac:dyDescent="0.45">
      <c r="B183" s="33" t="s">
        <v>107</v>
      </c>
      <c r="C183" s="29" t="s">
        <v>5</v>
      </c>
      <c r="D183" s="19" t="str">
        <f>IF('TECHNOLOGY REGISTER'!B82="","",'TECHNOLOGY REGISTER'!B82)</f>
        <v/>
      </c>
      <c r="E183" s="32" t="s">
        <v>120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</row>
    <row r="184" spans="2:51" ht="15" customHeight="1" x14ac:dyDescent="0.45">
      <c r="B184" s="8" t="s">
        <v>107</v>
      </c>
      <c r="C184" s="30" t="s">
        <v>5</v>
      </c>
      <c r="D184" s="17" t="str">
        <f>IF('TECHNOLOGY REGISTER'!B83="","",'TECHNOLOGY REGISTER'!B83)</f>
        <v/>
      </c>
      <c r="E184" s="24" t="s">
        <v>120</v>
      </c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</row>
    <row r="185" spans="2:51" ht="15" customHeight="1" x14ac:dyDescent="0.45">
      <c r="B185" s="33" t="s">
        <v>107</v>
      </c>
      <c r="C185" s="29" t="s">
        <v>5</v>
      </c>
      <c r="D185" s="19" t="str">
        <f>IF('TECHNOLOGY REGISTER'!B84="","",'TECHNOLOGY REGISTER'!B84)</f>
        <v/>
      </c>
      <c r="E185" s="32" t="s">
        <v>120</v>
      </c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</row>
    <row r="186" spans="2:51" ht="15" customHeight="1" x14ac:dyDescent="0.45">
      <c r="B186" s="8" t="s">
        <v>107</v>
      </c>
      <c r="C186" s="30" t="s">
        <v>5</v>
      </c>
      <c r="D186" s="17" t="str">
        <f>IF('TECHNOLOGY REGISTER'!B85="","",'TECHNOLOGY REGISTER'!B85)</f>
        <v/>
      </c>
      <c r="E186" s="24" t="s">
        <v>120</v>
      </c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</row>
    <row r="187" spans="2:51" ht="15" customHeight="1" x14ac:dyDescent="0.45">
      <c r="B187" s="33" t="s">
        <v>107</v>
      </c>
      <c r="C187" s="29" t="s">
        <v>5</v>
      </c>
      <c r="D187" s="19" t="str">
        <f>IF('TECHNOLOGY REGISTER'!B86="","",'TECHNOLOGY REGISTER'!B86)</f>
        <v/>
      </c>
      <c r="E187" s="32" t="s">
        <v>120</v>
      </c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</row>
    <row r="188" spans="2:51" ht="15" customHeight="1" x14ac:dyDescent="0.45">
      <c r="B188" s="8" t="s">
        <v>107</v>
      </c>
      <c r="C188" s="30" t="s">
        <v>5</v>
      </c>
      <c r="D188" s="17" t="str">
        <f>IF('TECHNOLOGY REGISTER'!B87="","",'TECHNOLOGY REGISTER'!B87)</f>
        <v/>
      </c>
      <c r="E188" s="24" t="s">
        <v>120</v>
      </c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</row>
    <row r="189" spans="2:51" ht="15" customHeight="1" x14ac:dyDescent="0.45">
      <c r="B189" s="33" t="s">
        <v>107</v>
      </c>
      <c r="C189" s="29" t="s">
        <v>5</v>
      </c>
      <c r="D189" s="19" t="str">
        <f>IF('TECHNOLOGY REGISTER'!B88="","",'TECHNOLOGY REGISTER'!B88)</f>
        <v/>
      </c>
      <c r="E189" s="32" t="s">
        <v>120</v>
      </c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</row>
    <row r="190" spans="2:51" ht="15" customHeight="1" x14ac:dyDescent="0.45">
      <c r="B190" s="8" t="s">
        <v>107</v>
      </c>
      <c r="C190" s="30" t="s">
        <v>5</v>
      </c>
      <c r="D190" s="17" t="str">
        <f>IF('TECHNOLOGY REGISTER'!B89="","",'TECHNOLOGY REGISTER'!B89)</f>
        <v/>
      </c>
      <c r="E190" s="24" t="s">
        <v>120</v>
      </c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</row>
    <row r="191" spans="2:51" ht="15" customHeight="1" x14ac:dyDescent="0.45">
      <c r="B191" s="33" t="s">
        <v>107</v>
      </c>
      <c r="C191" s="29" t="s">
        <v>5</v>
      </c>
      <c r="D191" s="19" t="str">
        <f>IF('TECHNOLOGY REGISTER'!B90="","",'TECHNOLOGY REGISTER'!B90)</f>
        <v/>
      </c>
      <c r="E191" s="32" t="s">
        <v>120</v>
      </c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</row>
    <row r="192" spans="2:51" ht="15" customHeight="1" x14ac:dyDescent="0.45">
      <c r="B192" s="8" t="s">
        <v>107</v>
      </c>
      <c r="C192" s="30" t="s">
        <v>5</v>
      </c>
      <c r="D192" s="17" t="str">
        <f>IF('TECHNOLOGY REGISTER'!B91="","",'TECHNOLOGY REGISTER'!B91)</f>
        <v/>
      </c>
      <c r="E192" s="24" t="s">
        <v>120</v>
      </c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</row>
    <row r="193" spans="2:51" ht="15" customHeight="1" x14ac:dyDescent="0.45">
      <c r="B193" s="33" t="s">
        <v>107</v>
      </c>
      <c r="C193" s="29" t="s">
        <v>5</v>
      </c>
      <c r="D193" s="19" t="str">
        <f>IF('TECHNOLOGY REGISTER'!B92="","",'TECHNOLOGY REGISTER'!B92)</f>
        <v/>
      </c>
      <c r="E193" s="32" t="s">
        <v>120</v>
      </c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</row>
    <row r="194" spans="2:51" ht="15" customHeight="1" x14ac:dyDescent="0.45">
      <c r="B194" s="8" t="s">
        <v>107</v>
      </c>
      <c r="C194" s="30" t="s">
        <v>5</v>
      </c>
      <c r="D194" s="17" t="str">
        <f>IF('TECHNOLOGY REGISTER'!B93="","",'TECHNOLOGY REGISTER'!B93)</f>
        <v/>
      </c>
      <c r="E194" s="24" t="s">
        <v>120</v>
      </c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</row>
    <row r="195" spans="2:51" ht="15" customHeight="1" x14ac:dyDescent="0.45">
      <c r="B195" s="33" t="s">
        <v>107</v>
      </c>
      <c r="C195" s="29" t="s">
        <v>5</v>
      </c>
      <c r="D195" s="19" t="str">
        <f>IF('TECHNOLOGY REGISTER'!B94="","",'TECHNOLOGY REGISTER'!B94)</f>
        <v/>
      </c>
      <c r="E195" s="32" t="s">
        <v>120</v>
      </c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</row>
    <row r="196" spans="2:51" ht="15" customHeight="1" x14ac:dyDescent="0.45">
      <c r="B196" s="8" t="s">
        <v>107</v>
      </c>
      <c r="C196" s="30" t="s">
        <v>5</v>
      </c>
      <c r="D196" s="17" t="str">
        <f>IF('TECHNOLOGY REGISTER'!B95="","",'TECHNOLOGY REGISTER'!B95)</f>
        <v/>
      </c>
      <c r="E196" s="24" t="s">
        <v>120</v>
      </c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</row>
    <row r="197" spans="2:51" ht="15" customHeight="1" x14ac:dyDescent="0.45">
      <c r="B197" s="33" t="s">
        <v>107</v>
      </c>
      <c r="C197" s="29" t="s">
        <v>5</v>
      </c>
      <c r="D197" s="19" t="str">
        <f>IF('TECHNOLOGY REGISTER'!B96="","",'TECHNOLOGY REGISTER'!B96)</f>
        <v/>
      </c>
      <c r="E197" s="32" t="s">
        <v>120</v>
      </c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</row>
    <row r="198" spans="2:51" ht="15" customHeight="1" x14ac:dyDescent="0.45">
      <c r="B198" s="8" t="s">
        <v>107</v>
      </c>
      <c r="C198" s="30" t="s">
        <v>5</v>
      </c>
      <c r="D198" s="17" t="str">
        <f>IF('TECHNOLOGY REGISTER'!B97="","",'TECHNOLOGY REGISTER'!B97)</f>
        <v/>
      </c>
      <c r="E198" s="24" t="s">
        <v>120</v>
      </c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</row>
    <row r="199" spans="2:51" ht="15" customHeight="1" x14ac:dyDescent="0.45">
      <c r="B199" s="33" t="s">
        <v>107</v>
      </c>
      <c r="C199" s="29" t="s">
        <v>5</v>
      </c>
      <c r="D199" s="19" t="str">
        <f>IF('TECHNOLOGY REGISTER'!B98="","",'TECHNOLOGY REGISTER'!B98)</f>
        <v/>
      </c>
      <c r="E199" s="32" t="s">
        <v>120</v>
      </c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</row>
    <row r="200" spans="2:51" ht="15" customHeight="1" x14ac:dyDescent="0.45">
      <c r="B200" s="8" t="s">
        <v>107</v>
      </c>
      <c r="C200" s="30" t="s">
        <v>5</v>
      </c>
      <c r="D200" s="17" t="str">
        <f>IF('TECHNOLOGY REGISTER'!B99="","",'TECHNOLOGY REGISTER'!B99)</f>
        <v/>
      </c>
      <c r="E200" s="24" t="s">
        <v>120</v>
      </c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</row>
    <row r="201" spans="2:51" ht="15" customHeight="1" x14ac:dyDescent="0.45">
      <c r="B201" s="33" t="s">
        <v>107</v>
      </c>
      <c r="C201" s="29" t="s">
        <v>5</v>
      </c>
      <c r="D201" s="19" t="str">
        <f>IF('TECHNOLOGY REGISTER'!B100="","",'TECHNOLOGY REGISTER'!B100)</f>
        <v/>
      </c>
      <c r="E201" s="32" t="s">
        <v>120</v>
      </c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</row>
    <row r="202" spans="2:51" ht="15" customHeight="1" x14ac:dyDescent="0.45">
      <c r="B202" s="8" t="s">
        <v>107</v>
      </c>
      <c r="C202" s="30" t="s">
        <v>5</v>
      </c>
      <c r="D202" s="17" t="str">
        <f>IF('TECHNOLOGY REGISTER'!B101="","",'TECHNOLOGY REGISTER'!B101)</f>
        <v/>
      </c>
      <c r="E202" s="24" t="s">
        <v>120</v>
      </c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</row>
    <row r="203" spans="2:51" ht="15" customHeight="1" x14ac:dyDescent="0.45">
      <c r="B203" s="33" t="s">
        <v>107</v>
      </c>
      <c r="C203" s="29" t="s">
        <v>5</v>
      </c>
      <c r="D203" s="19" t="str">
        <f>IF('TECHNOLOGY REGISTER'!B102="","",'TECHNOLOGY REGISTER'!B102)</f>
        <v/>
      </c>
      <c r="E203" s="32" t="s">
        <v>120</v>
      </c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</row>
    <row r="204" spans="2:51" ht="15" customHeight="1" x14ac:dyDescent="0.45">
      <c r="B204" s="8" t="s">
        <v>107</v>
      </c>
      <c r="C204" s="30" t="s">
        <v>5</v>
      </c>
      <c r="D204" s="17" t="str">
        <f>IF('TECHNOLOGY REGISTER'!B103="","",'TECHNOLOGY REGISTER'!B103)</f>
        <v/>
      </c>
      <c r="E204" s="24" t="s">
        <v>120</v>
      </c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</row>
    <row r="205" spans="2:51" ht="15" customHeight="1" x14ac:dyDescent="0.45">
      <c r="B205" s="33" t="s">
        <v>107</v>
      </c>
      <c r="C205" s="29" t="s">
        <v>5</v>
      </c>
      <c r="D205" s="19" t="str">
        <f>IF('TECHNOLOGY REGISTER'!B104="","",'TECHNOLOGY REGISTER'!B104)</f>
        <v/>
      </c>
      <c r="E205" s="32" t="s">
        <v>120</v>
      </c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</row>
    <row r="206" spans="2:51" ht="15" customHeight="1" x14ac:dyDescent="0.45">
      <c r="B206" s="8" t="s">
        <v>107</v>
      </c>
      <c r="C206" s="30" t="s">
        <v>5</v>
      </c>
      <c r="D206" s="17" t="str">
        <f>IF('TECHNOLOGY REGISTER'!B105="","",'TECHNOLOGY REGISTER'!B105)</f>
        <v/>
      </c>
      <c r="E206" s="24" t="s">
        <v>120</v>
      </c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</row>
    <row r="207" spans="2:51" ht="15" customHeight="1" x14ac:dyDescent="0.45">
      <c r="B207" s="33" t="s">
        <v>107</v>
      </c>
      <c r="C207" s="29" t="s">
        <v>5</v>
      </c>
      <c r="D207" s="19" t="str">
        <f>IF('TECHNOLOGY REGISTER'!B106="","",'TECHNOLOGY REGISTER'!B106)</f>
        <v/>
      </c>
      <c r="E207" s="32" t="s">
        <v>120</v>
      </c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</row>
    <row r="208" spans="2:51" ht="15" customHeight="1" thickBot="1" x14ac:dyDescent="0.5">
      <c r="B208" s="8" t="s">
        <v>107</v>
      </c>
      <c r="C208" s="30" t="s">
        <v>5</v>
      </c>
      <c r="D208" s="17" t="str">
        <f>IF('TECHNOLOGY REGISTER'!B107="","",'TECHNOLOGY REGISTER'!B107)</f>
        <v/>
      </c>
      <c r="E208" s="24" t="s">
        <v>120</v>
      </c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</row>
    <row r="209" spans="2:51" ht="20" customHeight="1" x14ac:dyDescent="0.45">
      <c r="B209" s="69" t="s">
        <v>119</v>
      </c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</row>
    <row r="210" spans="2:51" ht="17" customHeight="1" thickBot="1" x14ac:dyDescent="0.5">
      <c r="B210" s="33" t="s">
        <v>106</v>
      </c>
      <c r="C210" s="29" t="s">
        <v>5</v>
      </c>
      <c r="D210" s="19"/>
      <c r="E210" s="32" t="s">
        <v>121</v>
      </c>
      <c r="F210" s="36">
        <v>0.43909999999999999</v>
      </c>
      <c r="G210" s="36">
        <v>0.1041</v>
      </c>
      <c r="H210" s="36">
        <v>0.1983</v>
      </c>
      <c r="I210" s="36">
        <v>0.23780000000000001</v>
      </c>
      <c r="J210" s="36">
        <v>0.19839999999999999</v>
      </c>
      <c r="K210" s="36">
        <v>0.31319999999999998</v>
      </c>
      <c r="L210" s="36">
        <v>0.37069999999999997</v>
      </c>
      <c r="M210" s="36">
        <v>0.41170000000000001</v>
      </c>
      <c r="N210" s="36">
        <v>0.30690000000000001</v>
      </c>
      <c r="O210" s="36">
        <v>0.28660000000000002</v>
      </c>
      <c r="P210" s="36">
        <v>0.30020000000000002</v>
      </c>
      <c r="Q210" s="36">
        <v>0.2918</v>
      </c>
      <c r="R210" s="36">
        <v>0.3004</v>
      </c>
      <c r="S210" s="36">
        <v>0.30009999999999998</v>
      </c>
      <c r="T210" s="36">
        <v>0.2944</v>
      </c>
      <c r="U210" s="36">
        <v>0.28710000000000002</v>
      </c>
      <c r="V210" s="36">
        <v>0.28710000000000002</v>
      </c>
      <c r="W210" s="36">
        <v>0.28710000000000002</v>
      </c>
      <c r="X210" s="36">
        <v>0.28179999999999999</v>
      </c>
      <c r="Y210" s="36">
        <v>0.28179999999999999</v>
      </c>
      <c r="Z210" s="36">
        <v>0.28179999999999999</v>
      </c>
      <c r="AA210" s="36">
        <v>0.28179999999999999</v>
      </c>
      <c r="AB210" s="36">
        <v>0.28179999999999999</v>
      </c>
      <c r="AC210" s="36">
        <v>0.28179999999999999</v>
      </c>
      <c r="AD210" s="36">
        <v>0.28179999999999999</v>
      </c>
      <c r="AE210" s="36">
        <v>0</v>
      </c>
      <c r="AF210" s="36">
        <v>0</v>
      </c>
      <c r="AG210" s="36">
        <v>0</v>
      </c>
      <c r="AH210" s="36">
        <v>0</v>
      </c>
      <c r="AI210" s="36">
        <v>0</v>
      </c>
      <c r="AJ210" s="36">
        <v>0</v>
      </c>
      <c r="AK210" s="36">
        <v>0</v>
      </c>
      <c r="AL210" s="36">
        <v>0</v>
      </c>
      <c r="AM210" s="36">
        <v>0</v>
      </c>
      <c r="AN210" s="36">
        <v>0</v>
      </c>
      <c r="AO210" s="36">
        <v>0</v>
      </c>
      <c r="AP210" s="36">
        <v>0</v>
      </c>
      <c r="AQ210" s="36">
        <v>0</v>
      </c>
      <c r="AR210" s="36">
        <v>0</v>
      </c>
      <c r="AS210" s="36">
        <v>0</v>
      </c>
      <c r="AT210" s="36">
        <v>0</v>
      </c>
      <c r="AU210" s="36">
        <v>0</v>
      </c>
      <c r="AV210" s="36">
        <v>0</v>
      </c>
      <c r="AW210" s="36">
        <v>0</v>
      </c>
      <c r="AX210" s="36">
        <v>0</v>
      </c>
      <c r="AY210" s="36">
        <v>0</v>
      </c>
    </row>
    <row r="211" spans="2:51" ht="20" customHeight="1" x14ac:dyDescent="0.45">
      <c r="B211" s="69" t="s">
        <v>183</v>
      </c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</row>
    <row r="212" spans="2:51" ht="17" customHeight="1" thickBot="1" x14ac:dyDescent="0.5">
      <c r="B212" s="33" t="s">
        <v>184</v>
      </c>
      <c r="C212" s="29" t="s">
        <v>5</v>
      </c>
      <c r="D212" s="19"/>
      <c r="E212" s="32" t="s">
        <v>121</v>
      </c>
      <c r="F212" s="36">
        <v>0.43909999999999999</v>
      </c>
      <c r="G212" s="36">
        <v>0.1041</v>
      </c>
      <c r="H212" s="36">
        <v>0.1983</v>
      </c>
      <c r="I212" s="36">
        <v>0.23780000000000001</v>
      </c>
      <c r="J212" s="36">
        <v>0.19839999999999999</v>
      </c>
      <c r="K212" s="36">
        <v>0.31319999999999998</v>
      </c>
      <c r="L212" s="36">
        <v>0.37069999999999997</v>
      </c>
      <c r="M212" s="36">
        <v>0.41170000000000001</v>
      </c>
      <c r="N212" s="36">
        <v>0.30690000000000001</v>
      </c>
      <c r="O212" s="36">
        <v>0.28660000000000002</v>
      </c>
      <c r="P212" s="36">
        <v>0.30020000000000002</v>
      </c>
      <c r="Q212" s="36">
        <v>0.2918</v>
      </c>
      <c r="R212" s="36">
        <v>0.3004</v>
      </c>
      <c r="S212" s="36">
        <v>0.30009999999999998</v>
      </c>
      <c r="T212" s="36">
        <v>0.2944</v>
      </c>
      <c r="U212" s="36">
        <v>0.28710000000000002</v>
      </c>
      <c r="V212" s="36">
        <v>0.28710000000000002</v>
      </c>
      <c r="W212" s="36">
        <v>0.28710000000000002</v>
      </c>
      <c r="X212" s="36">
        <v>0.28179999999999999</v>
      </c>
      <c r="Y212" s="36">
        <v>0.28179999999999999</v>
      </c>
      <c r="Z212" s="36">
        <v>0.28179999999999999</v>
      </c>
      <c r="AA212" s="36">
        <v>0.28179999999999999</v>
      </c>
      <c r="AB212" s="36">
        <v>0.28179999999999999</v>
      </c>
      <c r="AC212" s="36">
        <v>0.28179999999999999</v>
      </c>
      <c r="AD212" s="36">
        <v>0.28179999999999999</v>
      </c>
      <c r="AE212" s="36">
        <v>0</v>
      </c>
      <c r="AF212" s="36">
        <v>0</v>
      </c>
      <c r="AG212" s="36">
        <v>0</v>
      </c>
      <c r="AH212" s="36">
        <v>0</v>
      </c>
      <c r="AI212" s="36">
        <v>0</v>
      </c>
      <c r="AJ212" s="36">
        <v>0</v>
      </c>
      <c r="AK212" s="36">
        <v>0</v>
      </c>
      <c r="AL212" s="36">
        <v>0</v>
      </c>
      <c r="AM212" s="36">
        <v>0</v>
      </c>
      <c r="AN212" s="36">
        <v>0</v>
      </c>
      <c r="AO212" s="36">
        <v>0</v>
      </c>
      <c r="AP212" s="36">
        <v>0</v>
      </c>
      <c r="AQ212" s="36">
        <v>0</v>
      </c>
      <c r="AR212" s="36">
        <v>0</v>
      </c>
      <c r="AS212" s="36">
        <v>0</v>
      </c>
      <c r="AT212" s="36">
        <v>0</v>
      </c>
      <c r="AU212" s="36">
        <v>0</v>
      </c>
      <c r="AV212" s="36">
        <v>0</v>
      </c>
      <c r="AW212" s="36">
        <v>0</v>
      </c>
      <c r="AX212" s="36">
        <v>0</v>
      </c>
      <c r="AY212" s="36">
        <v>0</v>
      </c>
    </row>
    <row r="213" spans="2:51" ht="20" customHeight="1" x14ac:dyDescent="0.45">
      <c r="B213" s="69" t="s">
        <v>185</v>
      </c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</row>
    <row r="214" spans="2:51" ht="17" customHeight="1" x14ac:dyDescent="0.45">
      <c r="B214" s="33" t="s">
        <v>186</v>
      </c>
      <c r="C214" s="29" t="s">
        <v>5</v>
      </c>
      <c r="D214" s="19"/>
      <c r="E214" s="32" t="s">
        <v>187</v>
      </c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</row>
  </sheetData>
  <mergeCells count="8">
    <mergeCell ref="B211:AY211"/>
    <mergeCell ref="B213:AY213"/>
    <mergeCell ref="B158:AY158"/>
    <mergeCell ref="B209:AY209"/>
    <mergeCell ref="B1:AY1"/>
    <mergeCell ref="B5:AY5"/>
    <mergeCell ref="B56:AY56"/>
    <mergeCell ref="B107:AY107"/>
  </mergeCells>
  <hyperlinks>
    <hyperlink ref="B2" location="COVER!A1" display="← Return to COVER" xr:uid="{6CD480A5-5B9E-AE41-B86C-F43F13BB6819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A3BB-1849-404D-BF99-5C821D07F87C}">
  <sheetPr>
    <tabColor rgb="FFC00000"/>
  </sheetPr>
  <dimension ref="B1:K505"/>
  <sheetViews>
    <sheetView showGridLines="0" topLeftCell="A2" zoomScale="190" zoomScaleNormal="185" workbookViewId="0">
      <selection activeCell="B5" sqref="B5:K21"/>
    </sheetView>
  </sheetViews>
  <sheetFormatPr defaultColWidth="8.6875" defaultRowHeight="14.25" x14ac:dyDescent="0.45"/>
  <cols>
    <col min="1" max="1" width="3" style="3" customWidth="1"/>
    <col min="2" max="2" width="45.6875" style="3" bestFit="1" customWidth="1"/>
    <col min="3" max="3" width="5.1875" style="3" bestFit="1" customWidth="1"/>
    <col min="4" max="4" width="14.5" style="3" bestFit="1" customWidth="1"/>
    <col min="5" max="5" width="14.1875" style="3" bestFit="1" customWidth="1"/>
    <col min="6" max="6" width="15.3125" style="3" bestFit="1" customWidth="1"/>
    <col min="7" max="7" width="8.6875" style="3" bestFit="1" customWidth="1"/>
    <col min="8" max="10" width="12.1875" style="3" bestFit="1" customWidth="1"/>
    <col min="11" max="11" width="28.3125" style="3" bestFit="1" customWidth="1"/>
    <col min="12" max="16384" width="8.6875" style="3"/>
  </cols>
  <sheetData>
    <row r="1" spans="2:11" ht="18" customHeight="1" x14ac:dyDescent="0.45"/>
    <row r="2" spans="2:11" ht="36" customHeight="1" x14ac:dyDescent="0.45">
      <c r="B2" s="68" t="s">
        <v>115</v>
      </c>
      <c r="C2" s="68"/>
      <c r="D2" s="68"/>
      <c r="E2" s="68"/>
      <c r="F2" s="68"/>
      <c r="G2" s="68"/>
      <c r="H2" s="68"/>
      <c r="I2" s="68"/>
      <c r="J2" s="68"/>
      <c r="K2" s="68"/>
    </row>
    <row r="3" spans="2:11" ht="13.5" customHeight="1" x14ac:dyDescent="0.45">
      <c r="B3" s="52" t="s">
        <v>94</v>
      </c>
    </row>
    <row r="5" spans="2:11" ht="26.65" thickBot="1" x14ac:dyDescent="0.5">
      <c r="B5" s="11" t="s">
        <v>2</v>
      </c>
      <c r="C5" s="13" t="s">
        <v>48</v>
      </c>
      <c r="D5" s="12" t="s">
        <v>63</v>
      </c>
      <c r="E5" s="12" t="s">
        <v>68</v>
      </c>
      <c r="F5" s="12" t="s">
        <v>46</v>
      </c>
      <c r="G5" s="12" t="s">
        <v>43</v>
      </c>
      <c r="H5" s="12" t="s">
        <v>65</v>
      </c>
      <c r="I5" s="12" t="s">
        <v>67</v>
      </c>
      <c r="J5" s="12" t="s">
        <v>64</v>
      </c>
      <c r="K5" s="12" t="s">
        <v>66</v>
      </c>
    </row>
    <row r="6" spans="2:11" customFormat="1" ht="18" customHeight="1" x14ac:dyDescent="0.5">
      <c r="B6" s="7" t="s">
        <v>11</v>
      </c>
      <c r="C6" s="7">
        <v>2014</v>
      </c>
      <c r="D6" s="7" t="s">
        <v>47</v>
      </c>
      <c r="E6" s="7" t="s">
        <v>74</v>
      </c>
      <c r="F6" s="25">
        <v>42.75</v>
      </c>
      <c r="G6" s="7" t="s">
        <v>51</v>
      </c>
      <c r="H6" s="25">
        <v>0.16800000000000001</v>
      </c>
      <c r="I6" s="26">
        <v>25</v>
      </c>
      <c r="J6" s="26">
        <v>0</v>
      </c>
      <c r="K6" s="7" t="s">
        <v>75</v>
      </c>
    </row>
    <row r="7" spans="2:11" customFormat="1" ht="18" customHeight="1" x14ac:dyDescent="0.5">
      <c r="B7" s="34" t="s">
        <v>11</v>
      </c>
      <c r="C7" s="34">
        <v>2014</v>
      </c>
      <c r="D7" s="34" t="s">
        <v>49</v>
      </c>
      <c r="E7" s="34" t="s">
        <v>74</v>
      </c>
      <c r="F7" s="49">
        <v>42.75</v>
      </c>
      <c r="G7" s="34" t="s">
        <v>51</v>
      </c>
      <c r="H7" s="49">
        <v>0.16800000000000001</v>
      </c>
      <c r="I7" s="50">
        <v>25</v>
      </c>
      <c r="J7" s="50">
        <v>0</v>
      </c>
      <c r="K7" s="34" t="s">
        <v>74</v>
      </c>
    </row>
    <row r="8" spans="2:11" customFormat="1" ht="18" customHeight="1" x14ac:dyDescent="0.5">
      <c r="B8" s="7" t="s">
        <v>11</v>
      </c>
      <c r="C8" s="7">
        <v>2014</v>
      </c>
      <c r="D8" s="7" t="s">
        <v>49</v>
      </c>
      <c r="E8" s="7" t="s">
        <v>76</v>
      </c>
      <c r="F8" s="25">
        <v>71.25</v>
      </c>
      <c r="G8" s="7" t="s">
        <v>51</v>
      </c>
      <c r="H8" s="25">
        <v>4.9550000000000004E-2</v>
      </c>
      <c r="I8" s="26">
        <v>21</v>
      </c>
      <c r="J8" s="26">
        <v>6.4</v>
      </c>
      <c r="K8" s="7" t="s">
        <v>75</v>
      </c>
    </row>
    <row r="9" spans="2:11" customFormat="1" ht="18" customHeight="1" x14ac:dyDescent="0.5">
      <c r="B9" s="34" t="s">
        <v>11</v>
      </c>
      <c r="C9" s="34">
        <v>2014</v>
      </c>
      <c r="D9" s="34" t="s">
        <v>44</v>
      </c>
      <c r="E9" s="34" t="s">
        <v>74</v>
      </c>
      <c r="F9" s="49">
        <v>17.100000000000001</v>
      </c>
      <c r="G9" s="34" t="s">
        <v>51</v>
      </c>
      <c r="H9" s="49">
        <v>0.16800000000000001</v>
      </c>
      <c r="I9" s="50">
        <v>25</v>
      </c>
      <c r="J9" s="50">
        <v>0</v>
      </c>
      <c r="K9" s="34" t="s">
        <v>74</v>
      </c>
    </row>
    <row r="10" spans="2:11" customFormat="1" ht="18" customHeight="1" x14ac:dyDescent="0.5">
      <c r="B10" s="7" t="s">
        <v>11</v>
      </c>
      <c r="C10" s="7">
        <v>2014</v>
      </c>
      <c r="D10" s="7" t="s">
        <v>44</v>
      </c>
      <c r="E10" s="7" t="s">
        <v>74</v>
      </c>
      <c r="F10" s="25">
        <v>11.4</v>
      </c>
      <c r="G10" s="7" t="s">
        <v>51</v>
      </c>
      <c r="H10" s="25">
        <v>0.16800000000000001</v>
      </c>
      <c r="I10" s="26">
        <v>25</v>
      </c>
      <c r="J10" s="26">
        <v>0</v>
      </c>
      <c r="K10" s="7" t="s">
        <v>74</v>
      </c>
    </row>
    <row r="11" spans="2:11" customFormat="1" ht="18" customHeight="1" x14ac:dyDescent="0.5">
      <c r="B11" s="34" t="s">
        <v>11</v>
      </c>
      <c r="C11" s="34">
        <v>2018</v>
      </c>
      <c r="D11" s="34" t="s">
        <v>47</v>
      </c>
      <c r="E11" s="34" t="s">
        <v>76</v>
      </c>
      <c r="F11" s="49">
        <v>192</v>
      </c>
      <c r="G11" s="34" t="s">
        <v>51</v>
      </c>
      <c r="H11" s="49">
        <v>2.3903633306096857E-2</v>
      </c>
      <c r="I11" s="50">
        <v>32.668289591298226</v>
      </c>
      <c r="J11" s="50">
        <v>6.9579862261231415</v>
      </c>
      <c r="K11" s="34" t="s">
        <v>75</v>
      </c>
    </row>
    <row r="12" spans="2:11" customFormat="1" ht="18" customHeight="1" x14ac:dyDescent="0.5">
      <c r="B12" s="7" t="s">
        <v>14</v>
      </c>
      <c r="C12" s="7">
        <v>2022</v>
      </c>
      <c r="D12" s="7" t="s">
        <v>47</v>
      </c>
      <c r="E12" s="7" t="s">
        <v>76</v>
      </c>
      <c r="F12" s="25">
        <v>35</v>
      </c>
      <c r="G12" s="7" t="s">
        <v>51</v>
      </c>
      <c r="H12" s="25">
        <v>4.9550000000000004E-2</v>
      </c>
      <c r="I12" s="26">
        <v>15</v>
      </c>
      <c r="J12" s="26">
        <v>1</v>
      </c>
      <c r="K12" s="7" t="s">
        <v>75</v>
      </c>
    </row>
    <row r="13" spans="2:11" customFormat="1" ht="18" customHeight="1" x14ac:dyDescent="0.5">
      <c r="B13" s="34" t="s">
        <v>14</v>
      </c>
      <c r="C13" s="34">
        <v>2022</v>
      </c>
      <c r="D13" s="34" t="s">
        <v>44</v>
      </c>
      <c r="E13" s="34" t="s">
        <v>76</v>
      </c>
      <c r="F13" s="49">
        <v>41</v>
      </c>
      <c r="G13" s="34" t="s">
        <v>51</v>
      </c>
      <c r="H13" s="49">
        <v>8.0329758713136745E-2</v>
      </c>
      <c r="I13" s="50">
        <v>15</v>
      </c>
      <c r="J13" s="50">
        <v>1.5</v>
      </c>
      <c r="K13" s="34" t="s">
        <v>75</v>
      </c>
    </row>
    <row r="14" spans="2:11" customFormat="1" ht="18" customHeight="1" x14ac:dyDescent="0.5">
      <c r="B14" s="7" t="s">
        <v>14</v>
      </c>
      <c r="C14" s="7">
        <v>2019</v>
      </c>
      <c r="D14" s="7" t="s">
        <v>44</v>
      </c>
      <c r="E14" s="7" t="s">
        <v>74</v>
      </c>
      <c r="F14" s="25">
        <v>11</v>
      </c>
      <c r="G14" s="7" t="s">
        <v>51</v>
      </c>
      <c r="H14" s="25">
        <v>5.2999999999999999E-2</v>
      </c>
      <c r="I14" s="26">
        <v>24</v>
      </c>
      <c r="J14" s="26">
        <v>0</v>
      </c>
      <c r="K14" s="7" t="s">
        <v>74</v>
      </c>
    </row>
    <row r="15" spans="2:11" x14ac:dyDescent="0.45">
      <c r="B15" s="34" t="s">
        <v>8</v>
      </c>
      <c r="C15" s="34">
        <v>2015</v>
      </c>
      <c r="D15" s="34" t="s">
        <v>44</v>
      </c>
      <c r="E15" s="34" t="s">
        <v>76</v>
      </c>
      <c r="F15" s="49">
        <v>21</v>
      </c>
      <c r="G15" s="34" t="s">
        <v>51</v>
      </c>
      <c r="H15" s="49">
        <v>8.0329758713136745E-2</v>
      </c>
      <c r="I15" s="50">
        <v>15</v>
      </c>
      <c r="J15" s="50">
        <v>1.5</v>
      </c>
      <c r="K15" s="34" t="s">
        <v>75</v>
      </c>
    </row>
    <row r="16" spans="2:11" x14ac:dyDescent="0.45">
      <c r="B16" s="7" t="s">
        <v>8</v>
      </c>
      <c r="C16" s="7">
        <v>2015</v>
      </c>
      <c r="D16" s="7" t="s">
        <v>44</v>
      </c>
      <c r="E16" s="7" t="s">
        <v>74</v>
      </c>
      <c r="F16" s="25">
        <v>8</v>
      </c>
      <c r="G16" s="7" t="s">
        <v>51</v>
      </c>
      <c r="H16" s="25">
        <v>0.12</v>
      </c>
      <c r="I16" s="26">
        <v>30</v>
      </c>
      <c r="J16" s="26">
        <v>0</v>
      </c>
      <c r="K16" s="7" t="s">
        <v>74</v>
      </c>
    </row>
    <row r="17" spans="2:11" x14ac:dyDescent="0.45">
      <c r="B17" s="34" t="s">
        <v>11</v>
      </c>
      <c r="C17" s="34">
        <v>2019</v>
      </c>
      <c r="D17" s="34" t="s">
        <v>49</v>
      </c>
      <c r="E17" s="34" t="s">
        <v>74</v>
      </c>
      <c r="F17" s="49">
        <v>19.600000000000001</v>
      </c>
      <c r="G17" s="34" t="s">
        <v>51</v>
      </c>
      <c r="H17" s="49">
        <v>0.29699999999999999</v>
      </c>
      <c r="I17" s="50">
        <v>25</v>
      </c>
      <c r="J17" s="50">
        <v>0</v>
      </c>
      <c r="K17" s="34" t="s">
        <v>74</v>
      </c>
    </row>
    <row r="18" spans="2:11" x14ac:dyDescent="0.45">
      <c r="B18" s="7" t="s">
        <v>11</v>
      </c>
      <c r="C18" s="7">
        <v>2019</v>
      </c>
      <c r="D18" s="7" t="s">
        <v>47</v>
      </c>
      <c r="E18" s="7" t="s">
        <v>76</v>
      </c>
      <c r="F18" s="25">
        <v>90</v>
      </c>
      <c r="G18" s="7" t="s">
        <v>51</v>
      </c>
      <c r="H18" s="25">
        <v>2.4058710569794983E-2</v>
      </c>
      <c r="I18" s="26">
        <v>23.583342661777632</v>
      </c>
      <c r="J18" s="26">
        <v>6.5440636898279223</v>
      </c>
      <c r="K18" s="7" t="s">
        <v>75</v>
      </c>
    </row>
    <row r="19" spans="2:11" x14ac:dyDescent="0.45">
      <c r="B19" s="34" t="s">
        <v>14</v>
      </c>
      <c r="C19" s="34">
        <v>2021</v>
      </c>
      <c r="D19" s="34" t="s">
        <v>45</v>
      </c>
      <c r="E19" s="34" t="s">
        <v>76</v>
      </c>
      <c r="F19" s="49">
        <v>15</v>
      </c>
      <c r="G19" s="34" t="s">
        <v>51</v>
      </c>
      <c r="H19" s="49">
        <v>8.0329758713136745E-2</v>
      </c>
      <c r="I19" s="50">
        <v>15</v>
      </c>
      <c r="J19" s="50">
        <v>1.5</v>
      </c>
      <c r="K19" s="34" t="s">
        <v>75</v>
      </c>
    </row>
    <row r="20" spans="2:11" x14ac:dyDescent="0.45">
      <c r="B20" s="7" t="s">
        <v>29</v>
      </c>
      <c r="C20" s="7">
        <v>2012</v>
      </c>
      <c r="D20" s="7" t="s">
        <v>47</v>
      </c>
      <c r="E20" s="7" t="s">
        <v>76</v>
      </c>
      <c r="F20" s="25">
        <v>72.434053551177968</v>
      </c>
      <c r="G20" s="7" t="s">
        <v>51</v>
      </c>
      <c r="H20" s="25">
        <v>1.6E-2</v>
      </c>
      <c r="I20" s="26">
        <v>21</v>
      </c>
      <c r="J20" s="26">
        <v>9</v>
      </c>
      <c r="K20" s="7" t="s">
        <v>75</v>
      </c>
    </row>
    <row r="21" spans="2:11" x14ac:dyDescent="0.45">
      <c r="B21" s="34" t="s">
        <v>29</v>
      </c>
      <c r="C21" s="34">
        <v>2012</v>
      </c>
      <c r="D21" s="34" t="s">
        <v>49</v>
      </c>
      <c r="E21" s="34" t="s">
        <v>74</v>
      </c>
      <c r="F21" s="49">
        <v>88</v>
      </c>
      <c r="G21" s="34" t="s">
        <v>51</v>
      </c>
      <c r="H21" s="49">
        <v>0.1</v>
      </c>
      <c r="I21" s="50">
        <v>50</v>
      </c>
      <c r="J21" s="50">
        <v>0</v>
      </c>
      <c r="K21" s="34" t="s">
        <v>74</v>
      </c>
    </row>
    <row r="22" spans="2:11" x14ac:dyDescent="0.45">
      <c r="B22" s="7" t="s">
        <v>29</v>
      </c>
      <c r="C22" s="7">
        <v>2012</v>
      </c>
      <c r="D22" s="7" t="s">
        <v>47</v>
      </c>
      <c r="E22" s="7" t="s">
        <v>76</v>
      </c>
      <c r="F22" s="25">
        <v>113</v>
      </c>
      <c r="G22" s="7" t="s">
        <v>51</v>
      </c>
      <c r="H22" s="25">
        <v>7.4999999999999997E-3</v>
      </c>
      <c r="I22" s="26">
        <v>50</v>
      </c>
      <c r="J22" s="26">
        <v>10</v>
      </c>
      <c r="K22" s="7" t="s">
        <v>75</v>
      </c>
    </row>
    <row r="23" spans="2:11" x14ac:dyDescent="0.45">
      <c r="B23" s="34" t="s">
        <v>29</v>
      </c>
      <c r="C23" s="34">
        <v>2012</v>
      </c>
      <c r="D23" s="34" t="s">
        <v>47</v>
      </c>
      <c r="E23" s="34" t="s">
        <v>76</v>
      </c>
      <c r="F23" s="49">
        <v>441</v>
      </c>
      <c r="G23" s="34" t="s">
        <v>51</v>
      </c>
      <c r="H23" s="49">
        <v>2.8010093808630395E-2</v>
      </c>
      <c r="I23" s="50">
        <v>30.795739434207817</v>
      </c>
      <c r="J23" s="50">
        <v>6.5156108439612517</v>
      </c>
      <c r="K23" s="34" t="s">
        <v>75</v>
      </c>
    </row>
    <row r="24" spans="2:11" x14ac:dyDescent="0.45">
      <c r="B24" s="7" t="s">
        <v>29</v>
      </c>
      <c r="C24" s="7">
        <v>2018</v>
      </c>
      <c r="D24" s="7" t="s">
        <v>47</v>
      </c>
      <c r="E24" s="7" t="s">
        <v>76</v>
      </c>
      <c r="F24" s="25">
        <v>30.58</v>
      </c>
      <c r="G24" s="7" t="s">
        <v>51</v>
      </c>
      <c r="H24" s="25">
        <v>6.3400000000000001E-3</v>
      </c>
      <c r="I24" s="26">
        <v>24</v>
      </c>
      <c r="J24" s="26">
        <v>8</v>
      </c>
      <c r="K24" s="7" t="s">
        <v>75</v>
      </c>
    </row>
    <row r="25" spans="2:11" x14ac:dyDescent="0.45">
      <c r="B25" s="34" t="s">
        <v>21</v>
      </c>
      <c r="C25" s="34">
        <v>2016</v>
      </c>
      <c r="D25" s="34" t="s">
        <v>49</v>
      </c>
      <c r="E25" s="34" t="s">
        <v>74</v>
      </c>
      <c r="F25" s="49">
        <v>4.3</v>
      </c>
      <c r="G25" s="34" t="s">
        <v>51</v>
      </c>
      <c r="H25" s="49">
        <v>4.0960000000000003E-2</v>
      </c>
      <c r="I25" s="50">
        <v>20</v>
      </c>
      <c r="J25" s="50">
        <v>0</v>
      </c>
      <c r="K25" s="34" t="s">
        <v>77</v>
      </c>
    </row>
    <row r="26" spans="2:11" x14ac:dyDescent="0.45">
      <c r="B26" s="7" t="s">
        <v>14</v>
      </c>
      <c r="C26" s="7">
        <v>2015</v>
      </c>
      <c r="D26" s="7" t="s">
        <v>47</v>
      </c>
      <c r="E26" s="7" t="s">
        <v>76</v>
      </c>
      <c r="F26" s="25">
        <v>135.69999999999999</v>
      </c>
      <c r="G26" s="7" t="s">
        <v>51</v>
      </c>
      <c r="H26" s="25">
        <v>2.6897446266474841E-2</v>
      </c>
      <c r="I26" s="26">
        <v>19.158759716231955</v>
      </c>
      <c r="J26" s="26">
        <v>6.1170318199528131</v>
      </c>
      <c r="K26" s="7" t="s">
        <v>75</v>
      </c>
    </row>
    <row r="27" spans="2:11" x14ac:dyDescent="0.45">
      <c r="B27" s="34" t="s">
        <v>29</v>
      </c>
      <c r="C27" s="34">
        <v>2012</v>
      </c>
      <c r="D27" s="34" t="s">
        <v>47</v>
      </c>
      <c r="E27" s="34" t="s">
        <v>76</v>
      </c>
      <c r="F27" s="49">
        <v>19.734400000000001</v>
      </c>
      <c r="G27" s="34" t="s">
        <v>51</v>
      </c>
      <c r="H27" s="49">
        <v>2.6897446266474841E-2</v>
      </c>
      <c r="I27" s="50">
        <v>19.158759716231955</v>
      </c>
      <c r="J27" s="50">
        <v>6.1170318199528131</v>
      </c>
      <c r="K27" s="34" t="s">
        <v>75</v>
      </c>
    </row>
    <row r="28" spans="2:11" x14ac:dyDescent="0.45">
      <c r="B28" s="7" t="s">
        <v>29</v>
      </c>
      <c r="C28" s="7">
        <v>2012</v>
      </c>
      <c r="D28" s="7" t="s">
        <v>47</v>
      </c>
      <c r="E28" s="7" t="s">
        <v>76</v>
      </c>
      <c r="F28" s="25">
        <v>56.212800000000001</v>
      </c>
      <c r="G28" s="7" t="s">
        <v>51</v>
      </c>
      <c r="H28" s="25">
        <v>2.6897446266474841E-2</v>
      </c>
      <c r="I28" s="26">
        <v>19.158759716231955</v>
      </c>
      <c r="J28" s="26">
        <v>6.1170318199528131</v>
      </c>
      <c r="K28" s="7" t="s">
        <v>75</v>
      </c>
    </row>
    <row r="29" spans="2:11" x14ac:dyDescent="0.45">
      <c r="B29" s="34" t="s">
        <v>25</v>
      </c>
      <c r="C29" s="34">
        <v>2012</v>
      </c>
      <c r="D29" s="34" t="s">
        <v>44</v>
      </c>
      <c r="E29" s="34" t="s">
        <v>76</v>
      </c>
      <c r="F29" s="49">
        <v>27</v>
      </c>
      <c r="G29" s="34" t="s">
        <v>51</v>
      </c>
      <c r="H29" s="49">
        <v>8.2400000000000001E-2</v>
      </c>
      <c r="I29" s="50">
        <v>15</v>
      </c>
      <c r="J29" s="50">
        <v>1.5</v>
      </c>
      <c r="K29" s="34" t="s">
        <v>75</v>
      </c>
    </row>
    <row r="30" spans="2:11" x14ac:dyDescent="0.45">
      <c r="B30" s="7" t="s">
        <v>25</v>
      </c>
      <c r="C30" s="7">
        <v>2011</v>
      </c>
      <c r="D30" s="7" t="s">
        <v>47</v>
      </c>
      <c r="E30" s="7" t="s">
        <v>76</v>
      </c>
      <c r="F30" s="25">
        <v>27</v>
      </c>
      <c r="G30" s="7" t="s">
        <v>51</v>
      </c>
      <c r="H30" s="25">
        <v>8.2400000000000001E-2</v>
      </c>
      <c r="I30" s="26">
        <v>15</v>
      </c>
      <c r="J30" s="26">
        <v>1.5</v>
      </c>
      <c r="K30" s="7" t="s">
        <v>75</v>
      </c>
    </row>
    <row r="31" spans="2:11" x14ac:dyDescent="0.45">
      <c r="B31" s="34" t="s">
        <v>25</v>
      </c>
      <c r="C31" s="34">
        <v>2011</v>
      </c>
      <c r="D31" s="34" t="s">
        <v>47</v>
      </c>
      <c r="E31" s="34" t="s">
        <v>76</v>
      </c>
      <c r="F31" s="49">
        <v>21.6</v>
      </c>
      <c r="G31" s="34" t="s">
        <v>51</v>
      </c>
      <c r="H31" s="49">
        <v>8.2400000000000001E-2</v>
      </c>
      <c r="I31" s="50">
        <v>15</v>
      </c>
      <c r="J31" s="50">
        <v>1.5</v>
      </c>
      <c r="K31" s="34" t="s">
        <v>75</v>
      </c>
    </row>
    <row r="32" spans="2:11" x14ac:dyDescent="0.45">
      <c r="B32" s="7" t="s">
        <v>25</v>
      </c>
      <c r="C32" s="7">
        <v>2013</v>
      </c>
      <c r="D32" s="7" t="s">
        <v>47</v>
      </c>
      <c r="E32" s="7" t="s">
        <v>76</v>
      </c>
      <c r="F32" s="25">
        <v>5.4</v>
      </c>
      <c r="G32" s="7" t="s">
        <v>51</v>
      </c>
      <c r="H32" s="25">
        <v>4.4900000000000002E-2</v>
      </c>
      <c r="I32" s="26">
        <v>15</v>
      </c>
      <c r="J32" s="26">
        <v>14.75</v>
      </c>
      <c r="K32" s="7" t="s">
        <v>75</v>
      </c>
    </row>
    <row r="33" spans="2:11" x14ac:dyDescent="0.45">
      <c r="B33" s="34" t="s">
        <v>25</v>
      </c>
      <c r="C33" s="34">
        <v>2011</v>
      </c>
      <c r="D33" s="34" t="s">
        <v>45</v>
      </c>
      <c r="E33" s="34" t="s">
        <v>74</v>
      </c>
      <c r="F33" s="49">
        <v>13.5</v>
      </c>
      <c r="G33" s="34" t="s">
        <v>51</v>
      </c>
      <c r="H33" s="49">
        <v>0.185</v>
      </c>
      <c r="I33" s="50">
        <v>25</v>
      </c>
      <c r="J33" s="50">
        <v>0</v>
      </c>
      <c r="K33" s="34" t="s">
        <v>74</v>
      </c>
    </row>
    <row r="34" spans="2:11" x14ac:dyDescent="0.45">
      <c r="B34" s="7" t="s">
        <v>25</v>
      </c>
      <c r="C34" s="7">
        <v>2011</v>
      </c>
      <c r="D34" s="7" t="s">
        <v>44</v>
      </c>
      <c r="E34" s="7" t="s">
        <v>74</v>
      </c>
      <c r="F34" s="25">
        <v>13.5</v>
      </c>
      <c r="G34" s="7" t="s">
        <v>51</v>
      </c>
      <c r="H34" s="25">
        <v>0.185</v>
      </c>
      <c r="I34" s="26">
        <v>25</v>
      </c>
      <c r="J34" s="26">
        <v>0</v>
      </c>
      <c r="K34" s="7" t="s">
        <v>74</v>
      </c>
    </row>
    <row r="35" spans="2:11" x14ac:dyDescent="0.45">
      <c r="B35" s="34" t="s">
        <v>29</v>
      </c>
      <c r="C35" s="34">
        <v>2017</v>
      </c>
      <c r="D35" s="34" t="s">
        <v>47</v>
      </c>
      <c r="E35" s="34" t="s">
        <v>76</v>
      </c>
      <c r="F35" s="49">
        <v>134</v>
      </c>
      <c r="G35" s="34" t="s">
        <v>51</v>
      </c>
      <c r="H35" s="49">
        <v>2.6897446266474841E-2</v>
      </c>
      <c r="I35" s="50">
        <v>19.158759716231955</v>
      </c>
      <c r="J35" s="50">
        <v>6.1170318199528131</v>
      </c>
      <c r="K35" s="34" t="s">
        <v>75</v>
      </c>
    </row>
    <row r="36" spans="2:11" x14ac:dyDescent="0.45">
      <c r="B36" s="7" t="s">
        <v>13</v>
      </c>
      <c r="C36" s="7">
        <v>2015</v>
      </c>
      <c r="D36" s="7" t="s">
        <v>49</v>
      </c>
      <c r="E36" s="7" t="s">
        <v>76</v>
      </c>
      <c r="F36" s="25">
        <v>4.5</v>
      </c>
      <c r="G36" s="7" t="s">
        <v>51</v>
      </c>
      <c r="H36" s="25">
        <v>2.5999999999999999E-2</v>
      </c>
      <c r="I36" s="26">
        <v>20.3</v>
      </c>
      <c r="J36" s="26">
        <v>6.2</v>
      </c>
      <c r="K36" s="7" t="s">
        <v>75</v>
      </c>
    </row>
    <row r="37" spans="2:11" x14ac:dyDescent="0.45">
      <c r="B37" s="34" t="s">
        <v>13</v>
      </c>
      <c r="C37" s="34">
        <v>2015</v>
      </c>
      <c r="D37" s="34" t="s">
        <v>47</v>
      </c>
      <c r="E37" s="34" t="s">
        <v>76</v>
      </c>
      <c r="F37" s="49">
        <v>250</v>
      </c>
      <c r="G37" s="34" t="s">
        <v>51</v>
      </c>
      <c r="H37" s="49">
        <v>7.4999999999999997E-3</v>
      </c>
      <c r="I37" s="50">
        <v>37</v>
      </c>
      <c r="J37" s="50">
        <v>6</v>
      </c>
      <c r="K37" s="34" t="s">
        <v>75</v>
      </c>
    </row>
    <row r="38" spans="2:11" x14ac:dyDescent="0.45">
      <c r="B38" s="7" t="s">
        <v>13</v>
      </c>
      <c r="C38" s="7">
        <v>2018</v>
      </c>
      <c r="D38" s="7" t="s">
        <v>47</v>
      </c>
      <c r="E38" s="7" t="s">
        <v>76</v>
      </c>
      <c r="F38" s="25">
        <v>19.8775280895</v>
      </c>
      <c r="G38" s="7" t="s">
        <v>51</v>
      </c>
      <c r="H38" s="25">
        <v>2.3903633306096857E-2</v>
      </c>
      <c r="I38" s="26">
        <v>32.668289591298226</v>
      </c>
      <c r="J38" s="26">
        <v>6.9579862261231415</v>
      </c>
      <c r="K38" s="7" t="s">
        <v>75</v>
      </c>
    </row>
    <row r="39" spans="2:11" x14ac:dyDescent="0.45">
      <c r="B39" s="34" t="s">
        <v>14</v>
      </c>
      <c r="C39" s="34">
        <v>2017</v>
      </c>
      <c r="D39" s="34" t="s">
        <v>47</v>
      </c>
      <c r="E39" s="34" t="s">
        <v>76</v>
      </c>
      <c r="F39" s="49">
        <v>150</v>
      </c>
      <c r="G39" s="34" t="s">
        <v>51</v>
      </c>
      <c r="H39" s="49">
        <v>2.8010093808630395E-2</v>
      </c>
      <c r="I39" s="50">
        <v>30.795739434207817</v>
      </c>
      <c r="J39" s="50">
        <v>6.5156108439612517</v>
      </c>
      <c r="K39" s="34" t="s">
        <v>75</v>
      </c>
    </row>
    <row r="40" spans="2:11" x14ac:dyDescent="0.45">
      <c r="B40" s="7" t="s">
        <v>29</v>
      </c>
      <c r="C40" s="7">
        <v>2010</v>
      </c>
      <c r="D40" s="7" t="s">
        <v>47</v>
      </c>
      <c r="E40" s="7" t="s">
        <v>76</v>
      </c>
      <c r="F40" s="25">
        <v>70.52</v>
      </c>
      <c r="G40" s="7" t="s">
        <v>51</v>
      </c>
      <c r="H40" s="25">
        <v>8.2482067447802281E-3</v>
      </c>
      <c r="I40" s="26">
        <v>50</v>
      </c>
      <c r="J40" s="26">
        <v>10</v>
      </c>
      <c r="K40" s="7" t="s">
        <v>75</v>
      </c>
    </row>
    <row r="41" spans="2:11" x14ac:dyDescent="0.45">
      <c r="B41" s="34" t="s">
        <v>29</v>
      </c>
      <c r="C41" s="34">
        <v>2010</v>
      </c>
      <c r="D41" s="34" t="s">
        <v>49</v>
      </c>
      <c r="E41" s="34" t="s">
        <v>74</v>
      </c>
      <c r="F41" s="49">
        <v>21.25</v>
      </c>
      <c r="G41" s="34" t="s">
        <v>51</v>
      </c>
      <c r="H41" s="49">
        <v>0.19900000000000001</v>
      </c>
      <c r="I41" s="50">
        <v>25</v>
      </c>
      <c r="J41" s="50">
        <v>0</v>
      </c>
      <c r="K41" s="34" t="s">
        <v>75</v>
      </c>
    </row>
    <row r="42" spans="2:11" x14ac:dyDescent="0.45">
      <c r="B42" s="7" t="s">
        <v>29</v>
      </c>
      <c r="C42" s="7">
        <v>2012</v>
      </c>
      <c r="D42" s="7" t="s">
        <v>47</v>
      </c>
      <c r="E42" s="7" t="s">
        <v>76</v>
      </c>
      <c r="F42" s="25">
        <v>19.8</v>
      </c>
      <c r="G42" s="7" t="s">
        <v>51</v>
      </c>
      <c r="H42" s="25">
        <v>2.6897446266474841E-2</v>
      </c>
      <c r="I42" s="26">
        <v>19.158759716231955</v>
      </c>
      <c r="J42" s="26">
        <v>6.1170318199528131</v>
      </c>
      <c r="K42" s="7" t="s">
        <v>75</v>
      </c>
    </row>
    <row r="43" spans="2:11" x14ac:dyDescent="0.45">
      <c r="B43" s="34" t="s">
        <v>29</v>
      </c>
      <c r="C43" s="34">
        <v>2017</v>
      </c>
      <c r="D43" s="34" t="s">
        <v>47</v>
      </c>
      <c r="E43" s="34" t="s">
        <v>76</v>
      </c>
      <c r="F43" s="49">
        <v>85.157908000000006</v>
      </c>
      <c r="G43" s="34" t="s">
        <v>51</v>
      </c>
      <c r="H43" s="49">
        <v>2.6897446266474799E-2</v>
      </c>
      <c r="I43" s="50">
        <v>19.158759716231955</v>
      </c>
      <c r="J43" s="50">
        <v>6.1170318199528131</v>
      </c>
      <c r="K43" s="34" t="s">
        <v>75</v>
      </c>
    </row>
    <row r="44" spans="2:11" x14ac:dyDescent="0.45">
      <c r="B44" s="7" t="s">
        <v>29</v>
      </c>
      <c r="C44" s="7">
        <v>2017</v>
      </c>
      <c r="D44" s="7" t="s">
        <v>49</v>
      </c>
      <c r="E44" s="7" t="s">
        <v>76</v>
      </c>
      <c r="F44" s="25">
        <v>15.03</v>
      </c>
      <c r="G44" s="7" t="s">
        <v>51</v>
      </c>
      <c r="H44" s="25">
        <v>3.9E-2</v>
      </c>
      <c r="I44" s="26">
        <v>20.8</v>
      </c>
      <c r="J44" s="26">
        <v>10.3</v>
      </c>
      <c r="K44" s="7" t="s">
        <v>75</v>
      </c>
    </row>
    <row r="45" spans="2:11" x14ac:dyDescent="0.45">
      <c r="B45" s="34" t="s">
        <v>29</v>
      </c>
      <c r="C45" s="34">
        <v>2023</v>
      </c>
      <c r="D45" s="34" t="s">
        <v>47</v>
      </c>
      <c r="E45" s="34" t="s">
        <v>76</v>
      </c>
      <c r="F45" s="49">
        <v>57</v>
      </c>
      <c r="G45" s="34" t="s">
        <v>51</v>
      </c>
      <c r="H45" s="49">
        <v>1.6217869999999999E-2</v>
      </c>
      <c r="I45" s="50">
        <v>25</v>
      </c>
      <c r="J45" s="50">
        <v>5</v>
      </c>
      <c r="K45" s="34" t="s">
        <v>75</v>
      </c>
    </row>
    <row r="46" spans="2:11" x14ac:dyDescent="0.45">
      <c r="B46" s="7" t="s">
        <v>29</v>
      </c>
      <c r="C46" s="7">
        <v>2023</v>
      </c>
      <c r="D46" s="7" t="s">
        <v>47</v>
      </c>
      <c r="E46" s="7" t="s">
        <v>76</v>
      </c>
      <c r="F46" s="25">
        <v>57</v>
      </c>
      <c r="G46" s="7" t="s">
        <v>51</v>
      </c>
      <c r="H46" s="25">
        <v>3.0000000000000001E-3</v>
      </c>
      <c r="I46" s="26">
        <v>15</v>
      </c>
      <c r="J46" s="26">
        <v>5</v>
      </c>
      <c r="K46" s="7" t="s">
        <v>75</v>
      </c>
    </row>
    <row r="47" spans="2:11" x14ac:dyDescent="0.45">
      <c r="B47" s="34" t="s">
        <v>29</v>
      </c>
      <c r="C47" s="34">
        <v>2023</v>
      </c>
      <c r="D47" s="34" t="s">
        <v>49</v>
      </c>
      <c r="E47" s="34" t="s">
        <v>76</v>
      </c>
      <c r="F47" s="49">
        <v>5</v>
      </c>
      <c r="G47" s="34" t="s">
        <v>51</v>
      </c>
      <c r="H47" s="49">
        <v>0</v>
      </c>
      <c r="I47" s="50">
        <v>1</v>
      </c>
      <c r="J47" s="50">
        <v>0</v>
      </c>
      <c r="K47" s="34" t="s">
        <v>77</v>
      </c>
    </row>
    <row r="48" spans="2:11" x14ac:dyDescent="0.45">
      <c r="B48" s="7" t="s">
        <v>13</v>
      </c>
      <c r="C48" s="7">
        <v>2012</v>
      </c>
      <c r="D48" s="7" t="s">
        <v>47</v>
      </c>
      <c r="E48" s="7" t="s">
        <v>76</v>
      </c>
      <c r="F48" s="25">
        <v>166</v>
      </c>
      <c r="G48" s="7" t="s">
        <v>51</v>
      </c>
      <c r="H48" s="25">
        <v>2.8010093808630395E-2</v>
      </c>
      <c r="I48" s="26">
        <v>30.795739434207817</v>
      </c>
      <c r="J48" s="26">
        <v>6.5156108439612517</v>
      </c>
      <c r="K48" s="7" t="s">
        <v>75</v>
      </c>
    </row>
    <row r="49" spans="2:11" x14ac:dyDescent="0.45">
      <c r="B49" s="34" t="s">
        <v>29</v>
      </c>
      <c r="C49" s="34">
        <v>2014</v>
      </c>
      <c r="D49" s="34" t="s">
        <v>49</v>
      </c>
      <c r="E49" s="34" t="s">
        <v>74</v>
      </c>
      <c r="F49" s="49">
        <v>7.8917400000000004</v>
      </c>
      <c r="G49" s="34" t="s">
        <v>51</v>
      </c>
      <c r="H49" s="49">
        <v>0.25209999999999999</v>
      </c>
      <c r="I49" s="50">
        <v>50</v>
      </c>
      <c r="J49" s="50">
        <v>0</v>
      </c>
      <c r="K49" s="34" t="s">
        <v>74</v>
      </c>
    </row>
    <row r="50" spans="2:11" x14ac:dyDescent="0.45">
      <c r="B50" s="7" t="s">
        <v>29</v>
      </c>
      <c r="C50" s="7">
        <v>2014</v>
      </c>
      <c r="D50" s="7" t="s">
        <v>47</v>
      </c>
      <c r="E50" s="7" t="s">
        <v>76</v>
      </c>
      <c r="F50" s="25">
        <v>32.49</v>
      </c>
      <c r="G50" s="7" t="s">
        <v>51</v>
      </c>
      <c r="H50" s="25">
        <v>8.2482067447802281E-3</v>
      </c>
      <c r="I50" s="26">
        <v>38.303405271670549</v>
      </c>
      <c r="J50" s="26">
        <v>7.9180339887256128</v>
      </c>
      <c r="K50" s="7" t="s">
        <v>75</v>
      </c>
    </row>
    <row r="51" spans="2:11" x14ac:dyDescent="0.45">
      <c r="B51" s="34" t="s">
        <v>32</v>
      </c>
      <c r="C51" s="34">
        <v>2014</v>
      </c>
      <c r="D51" s="34" t="s">
        <v>47</v>
      </c>
      <c r="E51" s="34" t="s">
        <v>76</v>
      </c>
      <c r="F51" s="49">
        <v>232.6</v>
      </c>
      <c r="G51" s="34" t="s">
        <v>51</v>
      </c>
      <c r="H51" s="49">
        <v>2.4058710569794983E-2</v>
      </c>
      <c r="I51" s="50">
        <v>23.583342661777632</v>
      </c>
      <c r="J51" s="50">
        <v>6.5440636898279223</v>
      </c>
      <c r="K51" s="34" t="s">
        <v>77</v>
      </c>
    </row>
    <row r="52" spans="2:11" x14ac:dyDescent="0.45">
      <c r="B52" s="7" t="s">
        <v>32</v>
      </c>
      <c r="C52" s="7">
        <v>2014</v>
      </c>
      <c r="D52" s="7" t="s">
        <v>44</v>
      </c>
      <c r="E52" s="7" t="s">
        <v>74</v>
      </c>
      <c r="F52" s="25">
        <v>59.311999999999998</v>
      </c>
      <c r="G52" s="7" t="s">
        <v>51</v>
      </c>
      <c r="H52" s="25">
        <v>0.13</v>
      </c>
      <c r="I52" s="26">
        <v>25</v>
      </c>
      <c r="J52" s="26">
        <v>0</v>
      </c>
      <c r="K52" s="7" t="s">
        <v>74</v>
      </c>
    </row>
    <row r="53" spans="2:11" x14ac:dyDescent="0.45">
      <c r="B53" s="34" t="s">
        <v>32</v>
      </c>
      <c r="C53" s="34">
        <v>2014</v>
      </c>
      <c r="D53" s="34" t="s">
        <v>45</v>
      </c>
      <c r="E53" s="34" t="s">
        <v>74</v>
      </c>
      <c r="F53" s="49">
        <v>8.0879999999999992</v>
      </c>
      <c r="G53" s="34" t="s">
        <v>51</v>
      </c>
      <c r="H53" s="49">
        <v>0.13</v>
      </c>
      <c r="I53" s="50">
        <v>25</v>
      </c>
      <c r="J53" s="50">
        <v>0</v>
      </c>
      <c r="K53" s="34" t="s">
        <v>74</v>
      </c>
    </row>
    <row r="54" spans="2:11" x14ac:dyDescent="0.45">
      <c r="B54" s="7" t="s">
        <v>14</v>
      </c>
      <c r="C54" s="7">
        <v>2022</v>
      </c>
      <c r="D54" s="7" t="s">
        <v>44</v>
      </c>
      <c r="E54" s="7" t="s">
        <v>74</v>
      </c>
      <c r="F54" s="25">
        <v>52</v>
      </c>
      <c r="G54" s="7" t="s">
        <v>51</v>
      </c>
      <c r="H54" s="25">
        <v>5.2999999999999999E-2</v>
      </c>
      <c r="I54" s="26">
        <v>24</v>
      </c>
      <c r="J54" s="26">
        <v>0</v>
      </c>
      <c r="K54" s="7" t="s">
        <v>74</v>
      </c>
    </row>
    <row r="55" spans="2:11" x14ac:dyDescent="0.45">
      <c r="B55" s="34" t="s">
        <v>14</v>
      </c>
      <c r="C55" s="34">
        <v>2018</v>
      </c>
      <c r="D55" s="34" t="s">
        <v>47</v>
      </c>
      <c r="E55" s="34" t="s">
        <v>76</v>
      </c>
      <c r="F55" s="49">
        <v>18.170000000000002</v>
      </c>
      <c r="G55" s="34" t="s">
        <v>51</v>
      </c>
      <c r="H55" s="49">
        <v>8.2482067447802281E-3</v>
      </c>
      <c r="I55" s="50">
        <v>18</v>
      </c>
      <c r="J55" s="50">
        <v>1</v>
      </c>
      <c r="K55" s="34" t="s">
        <v>75</v>
      </c>
    </row>
    <row r="56" spans="2:11" x14ac:dyDescent="0.45">
      <c r="B56" s="7" t="s">
        <v>14</v>
      </c>
      <c r="C56" s="7">
        <v>2018</v>
      </c>
      <c r="D56" s="7" t="s">
        <v>47</v>
      </c>
      <c r="E56" s="7" t="s">
        <v>76</v>
      </c>
      <c r="F56" s="25">
        <v>18.170000000000002</v>
      </c>
      <c r="G56" s="7" t="s">
        <v>51</v>
      </c>
      <c r="H56" s="25">
        <v>4.9550000000000004E-2</v>
      </c>
      <c r="I56" s="26">
        <v>14.1082910321489</v>
      </c>
      <c r="J56" s="26">
        <v>1</v>
      </c>
      <c r="K56" s="7" t="s">
        <v>75</v>
      </c>
    </row>
    <row r="57" spans="2:11" x14ac:dyDescent="0.45">
      <c r="B57" s="34" t="s">
        <v>14</v>
      </c>
      <c r="C57" s="34">
        <v>2018</v>
      </c>
      <c r="D57" s="34" t="s">
        <v>47</v>
      </c>
      <c r="E57" s="34" t="s">
        <v>76</v>
      </c>
      <c r="F57" s="49">
        <v>11.6</v>
      </c>
      <c r="G57" s="34" t="s">
        <v>51</v>
      </c>
      <c r="H57" s="49">
        <v>4.9550000000000004E-2</v>
      </c>
      <c r="I57" s="50">
        <v>18</v>
      </c>
      <c r="J57" s="50">
        <v>1</v>
      </c>
      <c r="K57" s="34" t="s">
        <v>75</v>
      </c>
    </row>
    <row r="58" spans="2:11" x14ac:dyDescent="0.45">
      <c r="B58" s="7" t="s">
        <v>14</v>
      </c>
      <c r="C58" s="7">
        <v>2018</v>
      </c>
      <c r="D58" s="7" t="s">
        <v>44</v>
      </c>
      <c r="E58" s="7" t="s">
        <v>74</v>
      </c>
      <c r="F58" s="25">
        <v>15.96</v>
      </c>
      <c r="G58" s="7" t="s">
        <v>51</v>
      </c>
      <c r="H58" s="25">
        <v>5.2999999999999999E-2</v>
      </c>
      <c r="I58" s="26">
        <v>24</v>
      </c>
      <c r="J58" s="26">
        <v>0</v>
      </c>
      <c r="K58" s="7" t="s">
        <v>74</v>
      </c>
    </row>
    <row r="59" spans="2:11" x14ac:dyDescent="0.45">
      <c r="B59" s="34" t="s">
        <v>16</v>
      </c>
      <c r="C59" s="34">
        <v>2015</v>
      </c>
      <c r="D59" s="34" t="s">
        <v>47</v>
      </c>
      <c r="E59" s="34" t="s">
        <v>76</v>
      </c>
      <c r="F59" s="49">
        <v>15</v>
      </c>
      <c r="G59" s="34" t="s">
        <v>51</v>
      </c>
      <c r="H59" s="49">
        <v>4.9550000000000004E-2</v>
      </c>
      <c r="I59" s="50">
        <v>8</v>
      </c>
      <c r="J59" s="50">
        <v>6.387366943339261</v>
      </c>
      <c r="K59" s="34" t="s">
        <v>75</v>
      </c>
    </row>
    <row r="60" spans="2:11" x14ac:dyDescent="0.45">
      <c r="B60" s="7" t="s">
        <v>16</v>
      </c>
      <c r="C60" s="7">
        <v>2015</v>
      </c>
      <c r="D60" s="7" t="s">
        <v>47</v>
      </c>
      <c r="E60" s="7" t="s">
        <v>76</v>
      </c>
      <c r="F60" s="25">
        <v>12.5</v>
      </c>
      <c r="G60" s="7" t="s">
        <v>51</v>
      </c>
      <c r="H60" s="25">
        <v>4.9550000000000004E-2</v>
      </c>
      <c r="I60" s="26">
        <v>8</v>
      </c>
      <c r="J60" s="26">
        <v>1</v>
      </c>
      <c r="K60" s="7" t="s">
        <v>75</v>
      </c>
    </row>
    <row r="61" spans="2:11" x14ac:dyDescent="0.45">
      <c r="B61" s="34" t="s">
        <v>16</v>
      </c>
      <c r="C61" s="34">
        <v>2015</v>
      </c>
      <c r="D61" s="34" t="s">
        <v>47</v>
      </c>
      <c r="E61" s="34" t="s">
        <v>76</v>
      </c>
      <c r="F61" s="49">
        <v>7.5</v>
      </c>
      <c r="G61" s="34" t="s">
        <v>51</v>
      </c>
      <c r="H61" s="49">
        <v>6.0049999999999999E-2</v>
      </c>
      <c r="I61" s="50">
        <v>5</v>
      </c>
      <c r="J61" s="50">
        <v>6.387366943339261</v>
      </c>
      <c r="K61" s="34" t="s">
        <v>75</v>
      </c>
    </row>
    <row r="62" spans="2:11" x14ac:dyDescent="0.45">
      <c r="B62" s="7" t="s">
        <v>16</v>
      </c>
      <c r="C62" s="7">
        <v>2015</v>
      </c>
      <c r="D62" s="7" t="s">
        <v>47</v>
      </c>
      <c r="E62" s="7" t="s">
        <v>76</v>
      </c>
      <c r="F62" s="25">
        <v>7.5</v>
      </c>
      <c r="G62" s="7" t="s">
        <v>51</v>
      </c>
      <c r="H62" s="25">
        <v>5.2549999999999999E-2</v>
      </c>
      <c r="I62" s="26">
        <v>5</v>
      </c>
      <c r="J62" s="26">
        <v>6.387366943339261</v>
      </c>
      <c r="K62" s="7" t="s">
        <v>75</v>
      </c>
    </row>
    <row r="63" spans="2:11" x14ac:dyDescent="0.45">
      <c r="B63" s="34" t="s">
        <v>16</v>
      </c>
      <c r="C63" s="34">
        <v>2015</v>
      </c>
      <c r="D63" s="34" t="s">
        <v>45</v>
      </c>
      <c r="E63" s="34" t="s">
        <v>74</v>
      </c>
      <c r="F63" s="49">
        <v>30.6</v>
      </c>
      <c r="G63" s="34" t="s">
        <v>51</v>
      </c>
      <c r="H63" s="49">
        <v>5.2999999999999999E-2</v>
      </c>
      <c r="I63" s="50">
        <v>50</v>
      </c>
      <c r="J63" s="50">
        <v>0</v>
      </c>
      <c r="K63" s="34" t="s">
        <v>74</v>
      </c>
    </row>
    <row r="64" spans="2:11" x14ac:dyDescent="0.45">
      <c r="B64" s="7" t="s">
        <v>16</v>
      </c>
      <c r="C64" s="7">
        <v>2015</v>
      </c>
      <c r="D64" s="7" t="s">
        <v>47</v>
      </c>
      <c r="E64" s="7" t="s">
        <v>76</v>
      </c>
      <c r="F64" s="25">
        <v>12.5</v>
      </c>
      <c r="G64" s="7" t="s">
        <v>51</v>
      </c>
      <c r="H64" s="25">
        <v>4.9550000000000004E-2</v>
      </c>
      <c r="I64" s="26">
        <v>8</v>
      </c>
      <c r="J64" s="26">
        <v>6.5156108439612517</v>
      </c>
      <c r="K64" s="7" t="s">
        <v>75</v>
      </c>
    </row>
    <row r="65" spans="2:11" x14ac:dyDescent="0.45">
      <c r="B65" s="34" t="s">
        <v>8</v>
      </c>
      <c r="C65" s="34">
        <v>2013</v>
      </c>
      <c r="D65" s="34" t="s">
        <v>44</v>
      </c>
      <c r="E65" s="34" t="s">
        <v>76</v>
      </c>
      <c r="F65" s="49">
        <v>100</v>
      </c>
      <c r="G65" s="34" t="s">
        <v>51</v>
      </c>
      <c r="H65" s="49">
        <v>8.0329758713136745E-2</v>
      </c>
      <c r="I65" s="50">
        <v>15</v>
      </c>
      <c r="J65" s="50">
        <v>1.5</v>
      </c>
      <c r="K65" s="34" t="s">
        <v>75</v>
      </c>
    </row>
    <row r="66" spans="2:11" x14ac:dyDescent="0.45">
      <c r="B66" s="7" t="s">
        <v>8</v>
      </c>
      <c r="C66" s="7">
        <v>2013</v>
      </c>
      <c r="D66" s="7" t="s">
        <v>47</v>
      </c>
      <c r="E66" s="7" t="s">
        <v>76</v>
      </c>
      <c r="F66" s="25">
        <v>20</v>
      </c>
      <c r="G66" s="7" t="s">
        <v>51</v>
      </c>
      <c r="H66" s="25">
        <v>2.3903633306096857E-2</v>
      </c>
      <c r="I66" s="26">
        <v>32.668289591298226</v>
      </c>
      <c r="J66" s="26">
        <v>6.9579862261231415</v>
      </c>
      <c r="K66" s="7" t="s">
        <v>75</v>
      </c>
    </row>
    <row r="67" spans="2:11" x14ac:dyDescent="0.45">
      <c r="B67" s="34" t="s">
        <v>8</v>
      </c>
      <c r="C67" s="34">
        <v>2014</v>
      </c>
      <c r="D67" s="34" t="s">
        <v>45</v>
      </c>
      <c r="E67" s="34" t="s">
        <v>74</v>
      </c>
      <c r="F67" s="49">
        <v>60</v>
      </c>
      <c r="G67" s="34" t="s">
        <v>51</v>
      </c>
      <c r="H67" s="49">
        <v>0.12</v>
      </c>
      <c r="I67" s="50">
        <v>30</v>
      </c>
      <c r="J67" s="50">
        <v>0</v>
      </c>
      <c r="K67" s="34" t="s">
        <v>74</v>
      </c>
    </row>
    <row r="68" spans="2:11" x14ac:dyDescent="0.45">
      <c r="B68" s="7" t="s">
        <v>8</v>
      </c>
      <c r="C68" s="7">
        <v>2013</v>
      </c>
      <c r="D68" s="7" t="s">
        <v>44</v>
      </c>
      <c r="E68" s="7" t="s">
        <v>74</v>
      </c>
      <c r="F68" s="25">
        <v>20</v>
      </c>
      <c r="G68" s="7" t="s">
        <v>51</v>
      </c>
      <c r="H68" s="25">
        <v>0.12</v>
      </c>
      <c r="I68" s="26">
        <v>30</v>
      </c>
      <c r="J68" s="26">
        <v>0</v>
      </c>
      <c r="K68" s="7" t="s">
        <v>74</v>
      </c>
    </row>
    <row r="69" spans="2:11" x14ac:dyDescent="0.45">
      <c r="B69" s="34" t="s">
        <v>29</v>
      </c>
      <c r="C69" s="34">
        <v>2013</v>
      </c>
      <c r="D69" s="34" t="s">
        <v>47</v>
      </c>
      <c r="E69" s="34" t="s">
        <v>76</v>
      </c>
      <c r="F69" s="49">
        <v>70.73</v>
      </c>
      <c r="G69" s="34" t="s">
        <v>51</v>
      </c>
      <c r="H69" s="49">
        <v>4.67050023375409E-3</v>
      </c>
      <c r="I69" s="50">
        <v>27.433286582515194</v>
      </c>
      <c r="J69" s="50">
        <v>11.475549322113139</v>
      </c>
      <c r="K69" s="34" t="s">
        <v>75</v>
      </c>
    </row>
    <row r="70" spans="2:11" x14ac:dyDescent="0.45">
      <c r="B70" s="7" t="s">
        <v>29</v>
      </c>
      <c r="C70" s="7">
        <v>2012</v>
      </c>
      <c r="D70" s="7" t="s">
        <v>47</v>
      </c>
      <c r="E70" s="7" t="s">
        <v>76</v>
      </c>
      <c r="F70" s="25">
        <v>73.06</v>
      </c>
      <c r="G70" s="7" t="s">
        <v>51</v>
      </c>
      <c r="H70" s="25">
        <v>1E-3</v>
      </c>
      <c r="I70" s="26">
        <v>30</v>
      </c>
      <c r="J70" s="26">
        <v>14</v>
      </c>
      <c r="K70" s="7" t="s">
        <v>75</v>
      </c>
    </row>
    <row r="71" spans="2:11" x14ac:dyDescent="0.45">
      <c r="B71" s="34" t="s">
        <v>29</v>
      </c>
      <c r="C71" s="34">
        <v>2012</v>
      </c>
      <c r="D71" s="34" t="s">
        <v>49</v>
      </c>
      <c r="E71" s="34" t="s">
        <v>74</v>
      </c>
      <c r="F71" s="49">
        <v>41.2</v>
      </c>
      <c r="G71" s="34" t="s">
        <v>51</v>
      </c>
      <c r="H71" s="49">
        <v>0.10366666669999999</v>
      </c>
      <c r="I71" s="50">
        <v>60</v>
      </c>
      <c r="J71" s="50">
        <v>0</v>
      </c>
      <c r="K71" s="34" t="s">
        <v>74</v>
      </c>
    </row>
    <row r="72" spans="2:11" x14ac:dyDescent="0.45">
      <c r="B72" s="7" t="s">
        <v>29</v>
      </c>
      <c r="C72" s="7">
        <v>2019</v>
      </c>
      <c r="D72" s="7" t="s">
        <v>49</v>
      </c>
      <c r="E72" s="7" t="s">
        <v>74</v>
      </c>
      <c r="F72" s="25">
        <v>96</v>
      </c>
      <c r="G72" s="7" t="s">
        <v>51</v>
      </c>
      <c r="H72" s="25">
        <v>0.10366666669999999</v>
      </c>
      <c r="I72" s="26">
        <v>60</v>
      </c>
      <c r="J72" s="26">
        <v>0</v>
      </c>
      <c r="K72" s="7" t="s">
        <v>74</v>
      </c>
    </row>
    <row r="73" spans="2:11" x14ac:dyDescent="0.45">
      <c r="B73" s="34" t="s">
        <v>32</v>
      </c>
      <c r="C73" s="34">
        <v>2014</v>
      </c>
      <c r="D73" s="34" t="s">
        <v>47</v>
      </c>
      <c r="E73" s="34" t="s">
        <v>76</v>
      </c>
      <c r="F73" s="49">
        <v>66.47</v>
      </c>
      <c r="G73" s="34" t="s">
        <v>51</v>
      </c>
      <c r="H73" s="49">
        <v>2.5268225719901158E-2</v>
      </c>
      <c r="I73" s="50">
        <v>18.845594729243253</v>
      </c>
      <c r="J73" s="50">
        <v>6.387366943339261</v>
      </c>
      <c r="K73" s="34" t="s">
        <v>75</v>
      </c>
    </row>
    <row r="74" spans="2:11" x14ac:dyDescent="0.45">
      <c r="B74" s="7" t="s">
        <v>32</v>
      </c>
      <c r="C74" s="7">
        <v>2014</v>
      </c>
      <c r="D74" s="7" t="s">
        <v>47</v>
      </c>
      <c r="E74" s="7" t="s">
        <v>76</v>
      </c>
      <c r="F74" s="25">
        <v>179.46</v>
      </c>
      <c r="G74" s="7" t="s">
        <v>51</v>
      </c>
      <c r="H74" s="25">
        <v>8.2482067447802281E-3</v>
      </c>
      <c r="I74" s="26">
        <v>38.303405271670549</v>
      </c>
      <c r="J74" s="26">
        <v>7.9180339887256128</v>
      </c>
      <c r="K74" s="7" t="s">
        <v>75</v>
      </c>
    </row>
    <row r="75" spans="2:11" x14ac:dyDescent="0.45">
      <c r="B75" s="34" t="s">
        <v>32</v>
      </c>
      <c r="C75" s="34">
        <v>2014</v>
      </c>
      <c r="D75" s="34" t="s">
        <v>47</v>
      </c>
      <c r="E75" s="34" t="s">
        <v>74</v>
      </c>
      <c r="F75" s="49">
        <v>9.9700000000000006</v>
      </c>
      <c r="G75" s="34" t="s">
        <v>51</v>
      </c>
      <c r="H75" s="49">
        <v>0.16</v>
      </c>
      <c r="I75" s="50">
        <v>25</v>
      </c>
      <c r="J75" s="50">
        <v>0</v>
      </c>
      <c r="K75" s="34" t="s">
        <v>74</v>
      </c>
    </row>
    <row r="76" spans="2:11" x14ac:dyDescent="0.45">
      <c r="B76" s="7" t="s">
        <v>32</v>
      </c>
      <c r="C76" s="7">
        <v>2014</v>
      </c>
      <c r="D76" s="7" t="s">
        <v>47</v>
      </c>
      <c r="E76" s="7" t="s">
        <v>76</v>
      </c>
      <c r="F76" s="25">
        <v>33.229999999999997</v>
      </c>
      <c r="G76" s="7" t="s">
        <v>51</v>
      </c>
      <c r="H76" s="25">
        <v>4.9550000000000004E-2</v>
      </c>
      <c r="I76" s="26">
        <v>14.1082910321489</v>
      </c>
      <c r="J76" s="26">
        <v>1</v>
      </c>
      <c r="K76" s="7" t="s">
        <v>75</v>
      </c>
    </row>
    <row r="77" spans="2:11" x14ac:dyDescent="0.45">
      <c r="B77" s="34" t="s">
        <v>32</v>
      </c>
      <c r="C77" s="34">
        <v>2014</v>
      </c>
      <c r="D77" s="34" t="s">
        <v>44</v>
      </c>
      <c r="E77" s="34" t="s">
        <v>76</v>
      </c>
      <c r="F77" s="49">
        <v>33.229999999999997</v>
      </c>
      <c r="G77" s="34" t="s">
        <v>51</v>
      </c>
      <c r="H77" s="49">
        <v>8.0329758713136745E-2</v>
      </c>
      <c r="I77" s="50">
        <v>15</v>
      </c>
      <c r="J77" s="50">
        <v>1.5</v>
      </c>
      <c r="K77" s="34" t="s">
        <v>75</v>
      </c>
    </row>
    <row r="78" spans="2:11" x14ac:dyDescent="0.45">
      <c r="B78" s="7" t="s">
        <v>32</v>
      </c>
      <c r="C78" s="7">
        <v>2014</v>
      </c>
      <c r="D78" s="7" t="s">
        <v>44</v>
      </c>
      <c r="E78" s="7" t="s">
        <v>76</v>
      </c>
      <c r="F78" s="25">
        <v>7.31</v>
      </c>
      <c r="G78" s="7" t="s">
        <v>51</v>
      </c>
      <c r="H78" s="25">
        <v>8.0329758713136745E-2</v>
      </c>
      <c r="I78" s="26">
        <v>15</v>
      </c>
      <c r="J78" s="26">
        <v>1.5</v>
      </c>
      <c r="K78" s="7" t="s">
        <v>75</v>
      </c>
    </row>
    <row r="79" spans="2:11" x14ac:dyDescent="0.45">
      <c r="B79" s="34" t="s">
        <v>32</v>
      </c>
      <c r="C79" s="34">
        <v>2014</v>
      </c>
      <c r="D79" s="34" t="s">
        <v>44</v>
      </c>
      <c r="E79" s="34" t="s">
        <v>76</v>
      </c>
      <c r="F79" s="49">
        <v>33.229999999999997</v>
      </c>
      <c r="G79" s="34" t="s">
        <v>51</v>
      </c>
      <c r="H79" s="49">
        <v>8.0329758713136745E-2</v>
      </c>
      <c r="I79" s="50">
        <v>15</v>
      </c>
      <c r="J79" s="50">
        <v>1.5</v>
      </c>
      <c r="K79" s="34" t="s">
        <v>75</v>
      </c>
    </row>
    <row r="80" spans="2:11" x14ac:dyDescent="0.45">
      <c r="B80" s="7" t="s">
        <v>32</v>
      </c>
      <c r="C80" s="7">
        <v>2014</v>
      </c>
      <c r="D80" s="7" t="s">
        <v>47</v>
      </c>
      <c r="E80" s="7" t="s">
        <v>76</v>
      </c>
      <c r="F80" s="25">
        <v>199.4</v>
      </c>
      <c r="G80" s="7" t="s">
        <v>51</v>
      </c>
      <c r="H80" s="25">
        <v>2.3903633306096857E-2</v>
      </c>
      <c r="I80" s="26">
        <v>32.668289591298226</v>
      </c>
      <c r="J80" s="26">
        <v>6.9579862261231415</v>
      </c>
      <c r="K80" s="7" t="s">
        <v>75</v>
      </c>
    </row>
    <row r="81" spans="2:11" x14ac:dyDescent="0.45">
      <c r="B81" s="34" t="s">
        <v>32</v>
      </c>
      <c r="C81" s="34">
        <v>2014</v>
      </c>
      <c r="D81" s="34" t="s">
        <v>47</v>
      </c>
      <c r="E81" s="34" t="s">
        <v>76</v>
      </c>
      <c r="F81" s="49">
        <v>46.53</v>
      </c>
      <c r="G81" s="34" t="s">
        <v>51</v>
      </c>
      <c r="H81" s="49">
        <v>2.4058710569794983E-2</v>
      </c>
      <c r="I81" s="50">
        <v>23.583342661777632</v>
      </c>
      <c r="J81" s="50">
        <v>6.5440636898279223</v>
      </c>
      <c r="K81" s="34" t="s">
        <v>75</v>
      </c>
    </row>
    <row r="82" spans="2:11" x14ac:dyDescent="0.45">
      <c r="B82" s="7" t="s">
        <v>32</v>
      </c>
      <c r="C82" s="7">
        <v>2014</v>
      </c>
      <c r="D82" s="7" t="s">
        <v>47</v>
      </c>
      <c r="E82" s="7" t="s">
        <v>74</v>
      </c>
      <c r="F82" s="25">
        <v>21.27</v>
      </c>
      <c r="G82" s="7" t="s">
        <v>51</v>
      </c>
      <c r="H82" s="25">
        <v>0.16</v>
      </c>
      <c r="I82" s="26">
        <v>25</v>
      </c>
      <c r="J82" s="26">
        <v>0</v>
      </c>
      <c r="K82" s="7" t="s">
        <v>74</v>
      </c>
    </row>
    <row r="83" spans="2:11" x14ac:dyDescent="0.45">
      <c r="B83" s="34" t="s">
        <v>32</v>
      </c>
      <c r="C83" s="34">
        <v>2014</v>
      </c>
      <c r="D83" s="34" t="s">
        <v>47</v>
      </c>
      <c r="E83" s="34" t="s">
        <v>74</v>
      </c>
      <c r="F83" s="49">
        <v>21.27</v>
      </c>
      <c r="G83" s="34" t="s">
        <v>51</v>
      </c>
      <c r="H83" s="49">
        <v>0.16</v>
      </c>
      <c r="I83" s="50">
        <v>25</v>
      </c>
      <c r="J83" s="50">
        <v>0</v>
      </c>
      <c r="K83" s="34" t="s">
        <v>74</v>
      </c>
    </row>
    <row r="84" spans="2:11" x14ac:dyDescent="0.45">
      <c r="B84" s="7" t="s">
        <v>32</v>
      </c>
      <c r="C84" s="7">
        <v>2014</v>
      </c>
      <c r="D84" s="7" t="s">
        <v>47</v>
      </c>
      <c r="E84" s="7" t="s">
        <v>76</v>
      </c>
      <c r="F84" s="25">
        <v>26.59</v>
      </c>
      <c r="G84" s="7" t="s">
        <v>51</v>
      </c>
      <c r="H84" s="25">
        <v>2.4058710569794983E-2</v>
      </c>
      <c r="I84" s="26">
        <v>23.583342661777632</v>
      </c>
      <c r="J84" s="26">
        <v>6.5440636898279223</v>
      </c>
      <c r="K84" s="7" t="s">
        <v>75</v>
      </c>
    </row>
    <row r="85" spans="2:11" x14ac:dyDescent="0.45">
      <c r="B85" s="34" t="s">
        <v>32</v>
      </c>
      <c r="C85" s="34">
        <v>2014</v>
      </c>
      <c r="D85" s="34" t="s">
        <v>47</v>
      </c>
      <c r="E85" s="34" t="s">
        <v>76</v>
      </c>
      <c r="F85" s="49">
        <v>6.65</v>
      </c>
      <c r="G85" s="34" t="s">
        <v>51</v>
      </c>
      <c r="H85" s="49">
        <v>2.3903633306096857E-2</v>
      </c>
      <c r="I85" s="50">
        <v>32.668289591298226</v>
      </c>
      <c r="J85" s="50">
        <v>6.9579862261231415</v>
      </c>
      <c r="K85" s="34" t="s">
        <v>75</v>
      </c>
    </row>
    <row r="86" spans="2:11" x14ac:dyDescent="0.45">
      <c r="B86" s="7" t="s">
        <v>32</v>
      </c>
      <c r="C86" s="7">
        <v>2014</v>
      </c>
      <c r="D86" s="7" t="s">
        <v>44</v>
      </c>
      <c r="E86" s="7" t="s">
        <v>74</v>
      </c>
      <c r="F86" s="25">
        <v>50.51</v>
      </c>
      <c r="G86" s="7" t="s">
        <v>51</v>
      </c>
      <c r="H86" s="25">
        <v>0.16</v>
      </c>
      <c r="I86" s="26">
        <v>25</v>
      </c>
      <c r="J86" s="26">
        <v>0</v>
      </c>
      <c r="K86" s="7" t="s">
        <v>74</v>
      </c>
    </row>
    <row r="87" spans="2:11" x14ac:dyDescent="0.45">
      <c r="B87" s="34" t="s">
        <v>32</v>
      </c>
      <c r="C87" s="34">
        <v>2014</v>
      </c>
      <c r="D87" s="34" t="s">
        <v>44</v>
      </c>
      <c r="E87" s="34" t="s">
        <v>74</v>
      </c>
      <c r="F87" s="49">
        <v>41.21</v>
      </c>
      <c r="G87" s="34" t="s">
        <v>51</v>
      </c>
      <c r="H87" s="49">
        <v>0.16</v>
      </c>
      <c r="I87" s="50">
        <v>25</v>
      </c>
      <c r="J87" s="50">
        <v>0</v>
      </c>
      <c r="K87" s="34" t="s">
        <v>74</v>
      </c>
    </row>
    <row r="88" spans="2:11" x14ac:dyDescent="0.45">
      <c r="B88" s="7" t="s">
        <v>32</v>
      </c>
      <c r="C88" s="7">
        <v>2014</v>
      </c>
      <c r="D88" s="7" t="s">
        <v>44</v>
      </c>
      <c r="E88" s="7" t="s">
        <v>74</v>
      </c>
      <c r="F88" s="25">
        <v>21.27</v>
      </c>
      <c r="G88" s="7" t="s">
        <v>51</v>
      </c>
      <c r="H88" s="25">
        <v>0.16</v>
      </c>
      <c r="I88" s="26">
        <v>25</v>
      </c>
      <c r="J88" s="26">
        <v>0</v>
      </c>
      <c r="K88" s="7" t="s">
        <v>74</v>
      </c>
    </row>
    <row r="89" spans="2:11" x14ac:dyDescent="0.45">
      <c r="B89" s="34" t="s">
        <v>32</v>
      </c>
      <c r="C89" s="34">
        <v>2014</v>
      </c>
      <c r="D89" s="34" t="s">
        <v>44</v>
      </c>
      <c r="E89" s="34" t="s">
        <v>74</v>
      </c>
      <c r="F89" s="49">
        <v>0.66</v>
      </c>
      <c r="G89" s="34" t="s">
        <v>51</v>
      </c>
      <c r="H89" s="49">
        <v>0.16</v>
      </c>
      <c r="I89" s="50">
        <v>25</v>
      </c>
      <c r="J89" s="50">
        <v>0</v>
      </c>
      <c r="K89" s="34" t="s">
        <v>74</v>
      </c>
    </row>
    <row r="90" spans="2:11" x14ac:dyDescent="0.45">
      <c r="B90" s="7" t="s">
        <v>32</v>
      </c>
      <c r="C90" s="7">
        <v>2014</v>
      </c>
      <c r="D90" s="7" t="s">
        <v>47</v>
      </c>
      <c r="E90" s="7" t="s">
        <v>76</v>
      </c>
      <c r="F90" s="25">
        <v>13.29</v>
      </c>
      <c r="G90" s="7" t="s">
        <v>51</v>
      </c>
      <c r="H90" s="25">
        <v>2.3903633306096857E-2</v>
      </c>
      <c r="I90" s="26">
        <v>32.668289591298226</v>
      </c>
      <c r="J90" s="26">
        <v>6.9579862261231415</v>
      </c>
      <c r="K90" s="7" t="s">
        <v>75</v>
      </c>
    </row>
    <row r="91" spans="2:11" x14ac:dyDescent="0.45">
      <c r="B91" s="34" t="s">
        <v>32</v>
      </c>
      <c r="C91" s="34">
        <v>2014</v>
      </c>
      <c r="D91" s="34" t="s">
        <v>47</v>
      </c>
      <c r="E91" s="34" t="s">
        <v>76</v>
      </c>
      <c r="F91" s="49">
        <v>13.29</v>
      </c>
      <c r="G91" s="34" t="s">
        <v>51</v>
      </c>
      <c r="H91" s="49">
        <v>2.3903633306096857E-2</v>
      </c>
      <c r="I91" s="50">
        <v>32.668289591298226</v>
      </c>
      <c r="J91" s="50">
        <v>6.9579862261231415</v>
      </c>
      <c r="K91" s="34" t="s">
        <v>75</v>
      </c>
    </row>
    <row r="92" spans="2:11" x14ac:dyDescent="0.45">
      <c r="B92" s="7" t="s">
        <v>32</v>
      </c>
      <c r="C92" s="7">
        <v>2014</v>
      </c>
      <c r="D92" s="7" t="s">
        <v>47</v>
      </c>
      <c r="E92" s="7" t="s">
        <v>76</v>
      </c>
      <c r="F92" s="25">
        <v>6.65</v>
      </c>
      <c r="G92" s="7" t="s">
        <v>51</v>
      </c>
      <c r="H92" s="25">
        <v>8.2482067447802281E-3</v>
      </c>
      <c r="I92" s="26">
        <v>38.303405271670549</v>
      </c>
      <c r="J92" s="26">
        <v>7.9180339887256128</v>
      </c>
      <c r="K92" s="7" t="s">
        <v>75</v>
      </c>
    </row>
    <row r="93" spans="2:11" x14ac:dyDescent="0.45">
      <c r="B93" s="34" t="s">
        <v>13</v>
      </c>
      <c r="C93" s="34">
        <v>2014</v>
      </c>
      <c r="D93" s="34" t="s">
        <v>47</v>
      </c>
      <c r="E93" s="34" t="s">
        <v>76</v>
      </c>
      <c r="F93" s="49">
        <v>139.26599999999999</v>
      </c>
      <c r="G93" s="34" t="s">
        <v>51</v>
      </c>
      <c r="H93" s="49">
        <v>7.4999999999999997E-3</v>
      </c>
      <c r="I93" s="50">
        <v>50</v>
      </c>
      <c r="J93" s="50">
        <v>10</v>
      </c>
      <c r="K93" s="34" t="s">
        <v>75</v>
      </c>
    </row>
    <row r="94" spans="2:11" x14ac:dyDescent="0.45">
      <c r="B94" s="7" t="s">
        <v>13</v>
      </c>
      <c r="C94" s="7">
        <v>2014</v>
      </c>
      <c r="D94" s="7" t="s">
        <v>49</v>
      </c>
      <c r="E94" s="7" t="s">
        <v>74</v>
      </c>
      <c r="F94" s="25">
        <v>14.24</v>
      </c>
      <c r="G94" s="7" t="s">
        <v>51</v>
      </c>
      <c r="H94" s="25">
        <v>6.9199999999999998E-2</v>
      </c>
      <c r="I94" s="26">
        <v>50</v>
      </c>
      <c r="J94" s="26">
        <v>0</v>
      </c>
      <c r="K94" s="7" t="s">
        <v>74</v>
      </c>
    </row>
    <row r="95" spans="2:11" x14ac:dyDescent="0.45">
      <c r="B95" s="34" t="s">
        <v>13</v>
      </c>
      <c r="C95" s="34">
        <v>2016</v>
      </c>
      <c r="D95" s="34" t="s">
        <v>47</v>
      </c>
      <c r="E95" s="34" t="s">
        <v>76</v>
      </c>
      <c r="F95" s="49">
        <v>162.22431</v>
      </c>
      <c r="G95" s="34" t="s">
        <v>51</v>
      </c>
      <c r="H95" s="49">
        <v>7.4999999999999997E-3</v>
      </c>
      <c r="I95" s="50">
        <v>20</v>
      </c>
      <c r="J95" s="50">
        <v>5</v>
      </c>
      <c r="K95" s="34" t="s">
        <v>75</v>
      </c>
    </row>
    <row r="96" spans="2:11" x14ac:dyDescent="0.45">
      <c r="B96" s="7" t="s">
        <v>13</v>
      </c>
      <c r="C96" s="7">
        <v>2016</v>
      </c>
      <c r="D96" s="7" t="s">
        <v>49</v>
      </c>
      <c r="E96" s="7" t="s">
        <v>76</v>
      </c>
      <c r="F96" s="25">
        <v>19.2</v>
      </c>
      <c r="G96" s="7" t="s">
        <v>51</v>
      </c>
      <c r="H96" s="25">
        <v>2.5999999999999999E-2</v>
      </c>
      <c r="I96" s="26">
        <v>17.600000000000001</v>
      </c>
      <c r="J96" s="26">
        <v>4.5</v>
      </c>
      <c r="K96" s="7" t="s">
        <v>75</v>
      </c>
    </row>
    <row r="97" spans="2:11" x14ac:dyDescent="0.45">
      <c r="B97" s="34" t="s">
        <v>13</v>
      </c>
      <c r="C97" s="34">
        <v>2015</v>
      </c>
      <c r="D97" s="34" t="s">
        <v>47</v>
      </c>
      <c r="E97" s="34" t="s">
        <v>76</v>
      </c>
      <c r="F97" s="49">
        <v>99.9</v>
      </c>
      <c r="G97" s="34" t="s">
        <v>51</v>
      </c>
      <c r="H97" s="49">
        <v>2.4058710569794983E-2</v>
      </c>
      <c r="I97" s="50">
        <v>23.583342661777632</v>
      </c>
      <c r="J97" s="50">
        <v>6.5440636898279223</v>
      </c>
      <c r="K97" s="34" t="s">
        <v>75</v>
      </c>
    </row>
    <row r="98" spans="2:11" x14ac:dyDescent="0.45">
      <c r="B98" s="7" t="s">
        <v>13</v>
      </c>
      <c r="C98" s="7">
        <v>2015</v>
      </c>
      <c r="D98" s="7" t="s">
        <v>47</v>
      </c>
      <c r="E98" s="7" t="s">
        <v>76</v>
      </c>
      <c r="F98" s="25">
        <v>66.599999999999994</v>
      </c>
      <c r="G98" s="7" t="s">
        <v>51</v>
      </c>
      <c r="H98" s="25">
        <v>2.3903633306096857E-2</v>
      </c>
      <c r="I98" s="26">
        <v>32.668289591298226</v>
      </c>
      <c r="J98" s="26">
        <v>6.9579862261231415</v>
      </c>
      <c r="K98" s="7" t="s">
        <v>75</v>
      </c>
    </row>
    <row r="99" spans="2:11" x14ac:dyDescent="0.45">
      <c r="B99" s="34" t="s">
        <v>11</v>
      </c>
      <c r="C99" s="34">
        <v>2013</v>
      </c>
      <c r="D99" s="34" t="s">
        <v>45</v>
      </c>
      <c r="E99" s="34" t="s">
        <v>74</v>
      </c>
      <c r="F99" s="49">
        <v>10</v>
      </c>
      <c r="G99" s="34" t="s">
        <v>51</v>
      </c>
      <c r="H99" s="49">
        <v>0.23</v>
      </c>
      <c r="I99" s="50">
        <v>25</v>
      </c>
      <c r="J99" s="50">
        <v>0</v>
      </c>
      <c r="K99" s="34" t="s">
        <v>74</v>
      </c>
    </row>
    <row r="100" spans="2:11" x14ac:dyDescent="0.45">
      <c r="B100" s="7" t="s">
        <v>14</v>
      </c>
      <c r="C100" s="7">
        <v>2019</v>
      </c>
      <c r="D100" s="7" t="s">
        <v>47</v>
      </c>
      <c r="E100" s="7" t="s">
        <v>76</v>
      </c>
      <c r="F100" s="25">
        <v>32</v>
      </c>
      <c r="G100" s="7" t="s">
        <v>51</v>
      </c>
      <c r="H100" s="25">
        <v>2.4058710569794983E-2</v>
      </c>
      <c r="I100" s="26">
        <v>16</v>
      </c>
      <c r="J100" s="26">
        <v>7.0783975996854291</v>
      </c>
      <c r="K100" s="7" t="s">
        <v>75</v>
      </c>
    </row>
    <row r="101" spans="2:11" x14ac:dyDescent="0.45">
      <c r="B101" s="34" t="s">
        <v>14</v>
      </c>
      <c r="C101" s="34">
        <v>2019</v>
      </c>
      <c r="D101" s="34" t="s">
        <v>47</v>
      </c>
      <c r="E101" s="34" t="s">
        <v>76</v>
      </c>
      <c r="F101" s="49">
        <v>20</v>
      </c>
      <c r="G101" s="34" t="s">
        <v>51</v>
      </c>
      <c r="H101" s="49">
        <v>2.4058710569794983E-2</v>
      </c>
      <c r="I101" s="50">
        <v>16</v>
      </c>
      <c r="J101" s="50">
        <v>7.0783975996854291</v>
      </c>
      <c r="K101" s="34" t="s">
        <v>75</v>
      </c>
    </row>
    <row r="102" spans="2:11" x14ac:dyDescent="0.45">
      <c r="B102" s="7" t="s">
        <v>14</v>
      </c>
      <c r="C102" s="7">
        <v>2019</v>
      </c>
      <c r="D102" s="7" t="s">
        <v>44</v>
      </c>
      <c r="E102" s="7" t="s">
        <v>74</v>
      </c>
      <c r="F102" s="25">
        <v>1.7</v>
      </c>
      <c r="G102" s="7" t="s">
        <v>51</v>
      </c>
      <c r="H102" s="25">
        <v>5.2999999999999999E-2</v>
      </c>
      <c r="I102" s="26">
        <v>24</v>
      </c>
      <c r="J102" s="26">
        <v>0</v>
      </c>
      <c r="K102" s="7" t="s">
        <v>74</v>
      </c>
    </row>
    <row r="103" spans="2:11" x14ac:dyDescent="0.45">
      <c r="B103" s="34" t="s">
        <v>14</v>
      </c>
      <c r="C103" s="34">
        <v>2019</v>
      </c>
      <c r="D103" s="34" t="s">
        <v>47</v>
      </c>
      <c r="E103" s="34" t="s">
        <v>74</v>
      </c>
      <c r="F103" s="49">
        <v>15.3</v>
      </c>
      <c r="G103" s="34" t="s">
        <v>51</v>
      </c>
      <c r="H103" s="49">
        <v>5.2999999999999999E-2</v>
      </c>
      <c r="I103" s="50">
        <v>24</v>
      </c>
      <c r="J103" s="50">
        <v>0</v>
      </c>
      <c r="K103" s="34" t="s">
        <v>74</v>
      </c>
    </row>
    <row r="104" spans="2:11" x14ac:dyDescent="0.45">
      <c r="B104" s="7" t="s">
        <v>11</v>
      </c>
      <c r="C104" s="7">
        <v>2011</v>
      </c>
      <c r="D104" s="7" t="s">
        <v>47</v>
      </c>
      <c r="E104" s="7" t="s">
        <v>76</v>
      </c>
      <c r="F104" s="25">
        <v>70</v>
      </c>
      <c r="G104" s="7" t="s">
        <v>51</v>
      </c>
      <c r="H104" s="25">
        <v>2.4058710569794983E-2</v>
      </c>
      <c r="I104" s="26">
        <v>23.583342661777632</v>
      </c>
      <c r="J104" s="26">
        <v>6.5440636898279223</v>
      </c>
      <c r="K104" s="7" t="s">
        <v>75</v>
      </c>
    </row>
    <row r="105" spans="2:11" x14ac:dyDescent="0.45">
      <c r="B105" s="34" t="s">
        <v>11</v>
      </c>
      <c r="C105" s="34">
        <v>2011</v>
      </c>
      <c r="D105" s="34" t="s">
        <v>47</v>
      </c>
      <c r="E105" s="34" t="s">
        <v>76</v>
      </c>
      <c r="F105" s="49">
        <v>7.5</v>
      </c>
      <c r="G105" s="34" t="s">
        <v>51</v>
      </c>
      <c r="H105" s="49">
        <v>1E-3</v>
      </c>
      <c r="I105" s="50">
        <v>40</v>
      </c>
      <c r="J105" s="50">
        <v>10</v>
      </c>
      <c r="K105" s="34" t="s">
        <v>75</v>
      </c>
    </row>
    <row r="106" spans="2:11" x14ac:dyDescent="0.45">
      <c r="B106" s="7" t="s">
        <v>11</v>
      </c>
      <c r="C106" s="7">
        <v>2011</v>
      </c>
      <c r="D106" s="7" t="s">
        <v>47</v>
      </c>
      <c r="E106" s="7" t="s">
        <v>76</v>
      </c>
      <c r="F106" s="25">
        <v>120</v>
      </c>
      <c r="G106" s="7" t="s">
        <v>51</v>
      </c>
      <c r="H106" s="25">
        <v>7.4999999999999997E-3</v>
      </c>
      <c r="I106" s="26">
        <v>50</v>
      </c>
      <c r="J106" s="26">
        <v>10</v>
      </c>
      <c r="K106" s="7" t="s">
        <v>75</v>
      </c>
    </row>
    <row r="107" spans="2:11" x14ac:dyDescent="0.45">
      <c r="B107" s="34" t="s">
        <v>11</v>
      </c>
      <c r="C107" s="34">
        <v>2011</v>
      </c>
      <c r="D107" s="34" t="s">
        <v>47</v>
      </c>
      <c r="E107" s="34" t="s">
        <v>76</v>
      </c>
      <c r="F107" s="49">
        <v>4.3999999999999997E-2</v>
      </c>
      <c r="G107" s="34" t="s">
        <v>51</v>
      </c>
      <c r="H107" s="49">
        <v>4.9550000000000004E-2</v>
      </c>
      <c r="I107" s="50">
        <v>14.1082910321489</v>
      </c>
      <c r="J107" s="50">
        <v>1</v>
      </c>
      <c r="K107" s="34" t="s">
        <v>75</v>
      </c>
    </row>
    <row r="108" spans="2:11" x14ac:dyDescent="0.45">
      <c r="B108" s="7" t="s">
        <v>11</v>
      </c>
      <c r="C108" s="7">
        <v>2011</v>
      </c>
      <c r="D108" s="7" t="s">
        <v>47</v>
      </c>
      <c r="E108" s="7" t="s">
        <v>76</v>
      </c>
      <c r="F108" s="25">
        <v>13.5</v>
      </c>
      <c r="G108" s="7" t="s">
        <v>51</v>
      </c>
      <c r="H108" s="25">
        <v>2.3903633306096857E-2</v>
      </c>
      <c r="I108" s="26">
        <v>32.668289591298226</v>
      </c>
      <c r="J108" s="26">
        <v>6.9579862261231415</v>
      </c>
      <c r="K108" s="7" t="s">
        <v>75</v>
      </c>
    </row>
    <row r="109" spans="2:11" x14ac:dyDescent="0.45">
      <c r="B109" s="34" t="s">
        <v>11</v>
      </c>
      <c r="C109" s="34">
        <v>2011</v>
      </c>
      <c r="D109" s="34" t="s">
        <v>47</v>
      </c>
      <c r="E109" s="34" t="s">
        <v>76</v>
      </c>
      <c r="F109" s="49">
        <v>3</v>
      </c>
      <c r="G109" s="34" t="s">
        <v>51</v>
      </c>
      <c r="H109" s="49">
        <v>2.4058710569794983E-2</v>
      </c>
      <c r="I109" s="50">
        <v>23.583342661777632</v>
      </c>
      <c r="J109" s="50">
        <v>6.5440636898279223</v>
      </c>
      <c r="K109" s="34" t="s">
        <v>75</v>
      </c>
    </row>
    <row r="110" spans="2:11" x14ac:dyDescent="0.45">
      <c r="B110" s="7" t="s">
        <v>11</v>
      </c>
      <c r="C110" s="7">
        <v>2011</v>
      </c>
      <c r="D110" s="7" t="s">
        <v>47</v>
      </c>
      <c r="E110" s="7" t="s">
        <v>76</v>
      </c>
      <c r="F110" s="25">
        <v>0.6</v>
      </c>
      <c r="G110" s="7" t="s">
        <v>51</v>
      </c>
      <c r="H110" s="25">
        <v>2.4058710569794983E-2</v>
      </c>
      <c r="I110" s="26">
        <v>23.583342661777632</v>
      </c>
      <c r="J110" s="26">
        <v>6.5440636898279223</v>
      </c>
      <c r="K110" s="7" t="s">
        <v>75</v>
      </c>
    </row>
    <row r="111" spans="2:11" x14ac:dyDescent="0.45">
      <c r="B111" s="34" t="s">
        <v>11</v>
      </c>
      <c r="C111" s="34">
        <v>2011</v>
      </c>
      <c r="D111" s="34" t="s">
        <v>49</v>
      </c>
      <c r="E111" s="34" t="s">
        <v>74</v>
      </c>
      <c r="F111" s="49">
        <v>195</v>
      </c>
      <c r="G111" s="34" t="s">
        <v>51</v>
      </c>
      <c r="H111" s="49">
        <v>0.29699999999999999</v>
      </c>
      <c r="I111" s="50">
        <v>25</v>
      </c>
      <c r="J111" s="50">
        <v>0</v>
      </c>
      <c r="K111" s="34" t="s">
        <v>74</v>
      </c>
    </row>
    <row r="112" spans="2:11" x14ac:dyDescent="0.45">
      <c r="B112" s="7" t="s">
        <v>11</v>
      </c>
      <c r="C112" s="7">
        <v>2012</v>
      </c>
      <c r="D112" s="7" t="s">
        <v>49</v>
      </c>
      <c r="E112" s="7" t="s">
        <v>74</v>
      </c>
      <c r="F112" s="25">
        <v>89</v>
      </c>
      <c r="G112" s="7" t="s">
        <v>51</v>
      </c>
      <c r="H112" s="25">
        <v>0.29699999999999999</v>
      </c>
      <c r="I112" s="26">
        <v>25</v>
      </c>
      <c r="J112" s="26">
        <v>0</v>
      </c>
      <c r="K112" s="7" t="s">
        <v>74</v>
      </c>
    </row>
    <row r="113" spans="2:11" x14ac:dyDescent="0.45">
      <c r="B113" s="34" t="s">
        <v>11</v>
      </c>
      <c r="C113" s="34">
        <v>2011</v>
      </c>
      <c r="D113" s="34" t="s">
        <v>47</v>
      </c>
      <c r="E113" s="34" t="s">
        <v>76</v>
      </c>
      <c r="F113" s="49">
        <v>15</v>
      </c>
      <c r="G113" s="34" t="s">
        <v>51</v>
      </c>
      <c r="H113" s="49">
        <v>1E-3</v>
      </c>
      <c r="I113" s="50">
        <v>40</v>
      </c>
      <c r="J113" s="50">
        <v>10</v>
      </c>
      <c r="K113" s="34" t="s">
        <v>75</v>
      </c>
    </row>
    <row r="114" spans="2:11" x14ac:dyDescent="0.45">
      <c r="B114" s="7" t="s">
        <v>11</v>
      </c>
      <c r="C114" s="7">
        <v>2023</v>
      </c>
      <c r="D114" s="7" t="s">
        <v>44</v>
      </c>
      <c r="E114" s="7" t="s">
        <v>74</v>
      </c>
      <c r="F114" s="25">
        <v>11.3</v>
      </c>
      <c r="G114" s="7" t="s">
        <v>51</v>
      </c>
      <c r="H114" s="25">
        <v>0</v>
      </c>
      <c r="I114" s="26">
        <v>0</v>
      </c>
      <c r="J114" s="26">
        <v>0</v>
      </c>
      <c r="K114" s="7" t="s">
        <v>78</v>
      </c>
    </row>
    <row r="115" spans="2:11" x14ac:dyDescent="0.45">
      <c r="B115" s="34" t="s">
        <v>11</v>
      </c>
      <c r="C115" s="34">
        <v>2018</v>
      </c>
      <c r="D115" s="34" t="s">
        <v>47</v>
      </c>
      <c r="E115" s="34" t="s">
        <v>76</v>
      </c>
      <c r="F115" s="49">
        <v>29.5</v>
      </c>
      <c r="G115" s="34" t="s">
        <v>51</v>
      </c>
      <c r="H115" s="49">
        <v>8.2482067447802281E-3</v>
      </c>
      <c r="I115" s="50">
        <v>16</v>
      </c>
      <c r="J115" s="50">
        <v>2</v>
      </c>
      <c r="K115" s="34" t="s">
        <v>75</v>
      </c>
    </row>
    <row r="116" spans="2:11" x14ac:dyDescent="0.45">
      <c r="B116" s="7" t="s">
        <v>11</v>
      </c>
      <c r="C116" s="7">
        <v>2018</v>
      </c>
      <c r="D116" s="7" t="s">
        <v>47</v>
      </c>
      <c r="E116" s="7" t="s">
        <v>76</v>
      </c>
      <c r="F116" s="25">
        <v>20</v>
      </c>
      <c r="G116" s="7" t="s">
        <v>51</v>
      </c>
      <c r="H116" s="25">
        <v>4.9550000000000004E-2</v>
      </c>
      <c r="I116" s="26">
        <v>14.1082910321489</v>
      </c>
      <c r="J116" s="26">
        <v>1</v>
      </c>
      <c r="K116" s="7" t="s">
        <v>75</v>
      </c>
    </row>
    <row r="117" spans="2:11" x14ac:dyDescent="0.45">
      <c r="B117" s="34" t="s">
        <v>11</v>
      </c>
      <c r="C117" s="34">
        <v>2022</v>
      </c>
      <c r="D117" s="34" t="s">
        <v>47</v>
      </c>
      <c r="E117" s="34" t="s">
        <v>76</v>
      </c>
      <c r="F117" s="49">
        <v>5.8</v>
      </c>
      <c r="G117" s="34" t="s">
        <v>51</v>
      </c>
      <c r="H117" s="49">
        <v>2.4058710569794983E-2</v>
      </c>
      <c r="I117" s="50">
        <v>23.583342661777632</v>
      </c>
      <c r="J117" s="50">
        <v>6.5440636898279223</v>
      </c>
      <c r="K117" s="34" t="s">
        <v>75</v>
      </c>
    </row>
    <row r="118" spans="2:11" x14ac:dyDescent="0.45">
      <c r="B118" s="7" t="s">
        <v>11</v>
      </c>
      <c r="C118" s="7">
        <v>2018</v>
      </c>
      <c r="D118" s="7" t="s">
        <v>47</v>
      </c>
      <c r="E118" s="7" t="s">
        <v>76</v>
      </c>
      <c r="F118" s="25">
        <v>18</v>
      </c>
      <c r="G118" s="7" t="s">
        <v>51</v>
      </c>
      <c r="H118" s="25">
        <v>2.3903633306096857E-2</v>
      </c>
      <c r="I118" s="26">
        <v>32.668289591298226</v>
      </c>
      <c r="J118" s="26">
        <v>6.9579862261231415</v>
      </c>
      <c r="K118" s="7" t="s">
        <v>75</v>
      </c>
    </row>
    <row r="119" spans="2:11" x14ac:dyDescent="0.45">
      <c r="B119" s="34" t="s">
        <v>11</v>
      </c>
      <c r="C119" s="34">
        <v>2018</v>
      </c>
      <c r="D119" s="34" t="s">
        <v>47</v>
      </c>
      <c r="E119" s="34" t="s">
        <v>74</v>
      </c>
      <c r="F119" s="49">
        <v>24.433333333333337</v>
      </c>
      <c r="G119" s="34" t="s">
        <v>51</v>
      </c>
      <c r="H119" s="49">
        <v>0.16500000000000001</v>
      </c>
      <c r="I119" s="50">
        <v>25</v>
      </c>
      <c r="J119" s="50">
        <v>0</v>
      </c>
      <c r="K119" s="34" t="s">
        <v>74</v>
      </c>
    </row>
    <row r="120" spans="2:11" x14ac:dyDescent="0.45">
      <c r="B120" s="7" t="s">
        <v>11</v>
      </c>
      <c r="C120" s="7">
        <v>2022</v>
      </c>
      <c r="D120" s="7" t="s">
        <v>45</v>
      </c>
      <c r="E120" s="7" t="s">
        <v>74</v>
      </c>
      <c r="F120" s="25">
        <v>79.150000000000006</v>
      </c>
      <c r="G120" s="7" t="s">
        <v>51</v>
      </c>
      <c r="H120" s="25">
        <v>0.17100000000000001</v>
      </c>
      <c r="I120" s="26">
        <v>25</v>
      </c>
      <c r="J120" s="26">
        <v>0</v>
      </c>
      <c r="K120" s="7" t="s">
        <v>74</v>
      </c>
    </row>
    <row r="121" spans="2:11" x14ac:dyDescent="0.45">
      <c r="B121" s="34" t="s">
        <v>7</v>
      </c>
      <c r="C121" s="34">
        <v>2019</v>
      </c>
      <c r="D121" s="34" t="s">
        <v>49</v>
      </c>
      <c r="E121" s="34" t="s">
        <v>74</v>
      </c>
      <c r="F121" s="49">
        <v>7.5</v>
      </c>
      <c r="G121" s="34" t="s">
        <v>51</v>
      </c>
      <c r="H121" s="49">
        <v>9.6000000000000002E-2</v>
      </c>
      <c r="I121" s="50">
        <v>24</v>
      </c>
      <c r="J121" s="50">
        <v>0</v>
      </c>
      <c r="K121" s="34" t="s">
        <v>74</v>
      </c>
    </row>
    <row r="122" spans="2:11" x14ac:dyDescent="0.45">
      <c r="B122" s="7" t="s">
        <v>7</v>
      </c>
      <c r="C122" s="7">
        <v>2019</v>
      </c>
      <c r="D122" s="7" t="s">
        <v>44</v>
      </c>
      <c r="E122" s="7" t="s">
        <v>74</v>
      </c>
      <c r="F122" s="25">
        <v>106.875</v>
      </c>
      <c r="G122" s="7" t="s">
        <v>51</v>
      </c>
      <c r="H122" s="25">
        <v>5.2999999999999999E-2</v>
      </c>
      <c r="I122" s="26">
        <v>24</v>
      </c>
      <c r="J122" s="26">
        <v>0</v>
      </c>
      <c r="K122" s="7" t="s">
        <v>74</v>
      </c>
    </row>
    <row r="123" spans="2:11" x14ac:dyDescent="0.45">
      <c r="B123" s="34" t="s">
        <v>7</v>
      </c>
      <c r="C123" s="34">
        <v>2019</v>
      </c>
      <c r="D123" s="34" t="s">
        <v>44</v>
      </c>
      <c r="E123" s="34" t="s">
        <v>74</v>
      </c>
      <c r="F123" s="49">
        <v>35.625</v>
      </c>
      <c r="G123" s="34" t="s">
        <v>51</v>
      </c>
      <c r="H123" s="49">
        <v>5.2999999999999999E-2</v>
      </c>
      <c r="I123" s="50">
        <v>24</v>
      </c>
      <c r="J123" s="50">
        <v>0</v>
      </c>
      <c r="K123" s="34" t="s">
        <v>74</v>
      </c>
    </row>
    <row r="124" spans="2:11" x14ac:dyDescent="0.45">
      <c r="B124" s="7" t="s">
        <v>13</v>
      </c>
      <c r="C124" s="7">
        <v>2012</v>
      </c>
      <c r="D124" s="7" t="s">
        <v>47</v>
      </c>
      <c r="E124" s="7" t="s">
        <v>76</v>
      </c>
      <c r="F124" s="25">
        <v>45.55</v>
      </c>
      <c r="G124" s="7" t="s">
        <v>51</v>
      </c>
      <c r="H124" s="25">
        <v>1.6E-2</v>
      </c>
      <c r="I124" s="26">
        <v>21</v>
      </c>
      <c r="J124" s="26">
        <v>9</v>
      </c>
      <c r="K124" s="7" t="s">
        <v>75</v>
      </c>
    </row>
    <row r="125" spans="2:11" x14ac:dyDescent="0.45">
      <c r="B125" s="34" t="s">
        <v>13</v>
      </c>
      <c r="C125" s="34">
        <v>2013</v>
      </c>
      <c r="D125" s="34" t="s">
        <v>47</v>
      </c>
      <c r="E125" s="34" t="s">
        <v>76</v>
      </c>
      <c r="F125" s="49">
        <v>120</v>
      </c>
      <c r="G125" s="34" t="s">
        <v>51</v>
      </c>
      <c r="H125" s="49">
        <v>0.02</v>
      </c>
      <c r="I125" s="50">
        <v>19</v>
      </c>
      <c r="J125" s="50">
        <v>7</v>
      </c>
      <c r="K125" s="34" t="s">
        <v>75</v>
      </c>
    </row>
    <row r="126" spans="2:11" x14ac:dyDescent="0.45">
      <c r="B126" s="7" t="s">
        <v>13</v>
      </c>
      <c r="C126" s="7">
        <v>2014</v>
      </c>
      <c r="D126" s="7" t="s">
        <v>47</v>
      </c>
      <c r="E126" s="7" t="s">
        <v>76</v>
      </c>
      <c r="F126" s="25">
        <v>105.798</v>
      </c>
      <c r="G126" s="7" t="s">
        <v>51</v>
      </c>
      <c r="H126" s="25">
        <v>0.02</v>
      </c>
      <c r="I126" s="26">
        <v>20</v>
      </c>
      <c r="J126" s="26">
        <v>7</v>
      </c>
      <c r="K126" s="7" t="s">
        <v>75</v>
      </c>
    </row>
    <row r="127" spans="2:11" x14ac:dyDescent="0.45">
      <c r="B127" s="34" t="s">
        <v>13</v>
      </c>
      <c r="C127" s="34">
        <v>2017</v>
      </c>
      <c r="D127" s="34" t="s">
        <v>47</v>
      </c>
      <c r="E127" s="34" t="s">
        <v>76</v>
      </c>
      <c r="F127" s="49">
        <v>174.24</v>
      </c>
      <c r="G127" s="34" t="s">
        <v>51</v>
      </c>
      <c r="H127" s="49">
        <v>2.6897446266474841E-2</v>
      </c>
      <c r="I127" s="50">
        <v>19</v>
      </c>
      <c r="J127" s="50">
        <v>6.1170318199528131</v>
      </c>
      <c r="K127" s="34" t="s">
        <v>75</v>
      </c>
    </row>
    <row r="128" spans="2:11" x14ac:dyDescent="0.45">
      <c r="B128" s="7" t="s">
        <v>13</v>
      </c>
      <c r="C128" s="7">
        <v>2017</v>
      </c>
      <c r="D128" s="7" t="s">
        <v>47</v>
      </c>
      <c r="E128" s="7" t="s">
        <v>76</v>
      </c>
      <c r="F128" s="25">
        <v>99.462000000000003</v>
      </c>
      <c r="G128" s="7" t="s">
        <v>51</v>
      </c>
      <c r="H128" s="25">
        <v>2.6897446266474841E-2</v>
      </c>
      <c r="I128" s="26">
        <v>19</v>
      </c>
      <c r="J128" s="26">
        <v>6.1170318199528131</v>
      </c>
      <c r="K128" s="7" t="s">
        <v>75</v>
      </c>
    </row>
    <row r="129" spans="2:11" x14ac:dyDescent="0.45">
      <c r="B129" s="34" t="s">
        <v>32</v>
      </c>
      <c r="C129" s="34">
        <v>2012</v>
      </c>
      <c r="D129" s="34" t="s">
        <v>47</v>
      </c>
      <c r="E129" s="34" t="s">
        <v>76</v>
      </c>
      <c r="F129" s="49">
        <v>8.19</v>
      </c>
      <c r="G129" s="34" t="s">
        <v>51</v>
      </c>
      <c r="H129" s="49">
        <v>5.0000000000000001E-3</v>
      </c>
      <c r="I129" s="50">
        <v>31</v>
      </c>
      <c r="J129" s="50">
        <v>3</v>
      </c>
      <c r="K129" s="34" t="s">
        <v>75</v>
      </c>
    </row>
    <row r="130" spans="2:11" x14ac:dyDescent="0.45">
      <c r="B130" s="7" t="s">
        <v>32</v>
      </c>
      <c r="C130" s="7">
        <v>2011</v>
      </c>
      <c r="D130" s="7" t="s">
        <v>47</v>
      </c>
      <c r="E130" s="7" t="s">
        <v>76</v>
      </c>
      <c r="F130" s="25">
        <v>25.7</v>
      </c>
      <c r="G130" s="7" t="s">
        <v>51</v>
      </c>
      <c r="H130" s="25">
        <v>1.4999999999999999E-2</v>
      </c>
      <c r="I130" s="26">
        <v>19</v>
      </c>
      <c r="J130" s="26">
        <v>7</v>
      </c>
      <c r="K130" s="7" t="s">
        <v>75</v>
      </c>
    </row>
    <row r="131" spans="2:11" x14ac:dyDescent="0.45">
      <c r="B131" s="34" t="s">
        <v>14</v>
      </c>
      <c r="C131" s="34">
        <v>2020</v>
      </c>
      <c r="D131" s="34" t="s">
        <v>47</v>
      </c>
      <c r="E131" s="34" t="s">
        <v>76</v>
      </c>
      <c r="F131" s="49">
        <v>1.8</v>
      </c>
      <c r="G131" s="34" t="s">
        <v>51</v>
      </c>
      <c r="H131" s="49">
        <v>2.7816858803627033E-2</v>
      </c>
      <c r="I131" s="50">
        <v>20.735225400093377</v>
      </c>
      <c r="J131" s="50">
        <v>5.9907079039461353</v>
      </c>
      <c r="K131" s="34" t="s">
        <v>75</v>
      </c>
    </row>
    <row r="132" spans="2:11" x14ac:dyDescent="0.45">
      <c r="B132" s="7" t="s">
        <v>14</v>
      </c>
      <c r="C132" s="7">
        <v>2020</v>
      </c>
      <c r="D132" s="7" t="s">
        <v>47</v>
      </c>
      <c r="E132" s="7" t="s">
        <v>74</v>
      </c>
      <c r="F132" s="25">
        <v>0.52500000000000002</v>
      </c>
      <c r="G132" s="7" t="s">
        <v>51</v>
      </c>
      <c r="H132" s="25">
        <v>5.2999999999999999E-2</v>
      </c>
      <c r="I132" s="26">
        <v>25</v>
      </c>
      <c r="J132" s="26">
        <v>0</v>
      </c>
      <c r="K132" s="7" t="s">
        <v>74</v>
      </c>
    </row>
    <row r="133" spans="2:11" x14ac:dyDescent="0.45">
      <c r="B133" s="34" t="s">
        <v>11</v>
      </c>
      <c r="C133" s="34">
        <v>2016</v>
      </c>
      <c r="D133" s="34" t="s">
        <v>47</v>
      </c>
      <c r="E133" s="34" t="s">
        <v>76</v>
      </c>
      <c r="F133" s="49">
        <v>78.235200000000006</v>
      </c>
      <c r="G133" s="34" t="s">
        <v>51</v>
      </c>
      <c r="H133" s="49">
        <v>3.5000000000000003E-2</v>
      </c>
      <c r="I133" s="50">
        <v>26</v>
      </c>
      <c r="J133" s="50">
        <v>6.9579862261231415</v>
      </c>
      <c r="K133" s="34" t="s">
        <v>75</v>
      </c>
    </row>
    <row r="134" spans="2:11" x14ac:dyDescent="0.45">
      <c r="B134" s="7" t="s">
        <v>11</v>
      </c>
      <c r="C134" s="7">
        <v>2016</v>
      </c>
      <c r="D134" s="7" t="s">
        <v>47</v>
      </c>
      <c r="E134" s="7" t="s">
        <v>76</v>
      </c>
      <c r="F134" s="25">
        <v>78.235200000000006</v>
      </c>
      <c r="G134" s="7" t="s">
        <v>51</v>
      </c>
      <c r="H134" s="25">
        <v>2.8480255890268378E-3</v>
      </c>
      <c r="I134" s="26">
        <v>32.538891448812343</v>
      </c>
      <c r="J134" s="26">
        <v>10</v>
      </c>
      <c r="K134" s="7" t="s">
        <v>75</v>
      </c>
    </row>
    <row r="135" spans="2:11" x14ac:dyDescent="0.45">
      <c r="B135" s="34" t="s">
        <v>11</v>
      </c>
      <c r="C135" s="34">
        <v>2012</v>
      </c>
      <c r="D135" s="34" t="s">
        <v>47</v>
      </c>
      <c r="E135" s="34" t="s">
        <v>76</v>
      </c>
      <c r="F135" s="49">
        <v>85</v>
      </c>
      <c r="G135" s="34" t="s">
        <v>51</v>
      </c>
      <c r="H135" s="49">
        <v>6.3399999999999998E-2</v>
      </c>
      <c r="I135" s="50">
        <v>19</v>
      </c>
      <c r="J135" s="50">
        <v>0</v>
      </c>
      <c r="K135" s="34" t="s">
        <v>77</v>
      </c>
    </row>
    <row r="136" spans="2:11" x14ac:dyDescent="0.45">
      <c r="B136" s="7" t="s">
        <v>11</v>
      </c>
      <c r="C136" s="7">
        <v>2019</v>
      </c>
      <c r="D136" s="7" t="s">
        <v>47</v>
      </c>
      <c r="E136" s="7" t="s">
        <v>76</v>
      </c>
      <c r="F136" s="25">
        <v>41.5</v>
      </c>
      <c r="G136" s="7" t="s">
        <v>51</v>
      </c>
      <c r="H136" s="25">
        <v>6.0400000000000002E-2</v>
      </c>
      <c r="I136" s="26">
        <v>9</v>
      </c>
      <c r="J136" s="26">
        <v>0</v>
      </c>
      <c r="K136" s="7" t="s">
        <v>75</v>
      </c>
    </row>
    <row r="137" spans="2:11" x14ac:dyDescent="0.45">
      <c r="B137" s="34" t="s">
        <v>11</v>
      </c>
      <c r="C137" s="34">
        <v>2012</v>
      </c>
      <c r="D137" s="34" t="s">
        <v>47</v>
      </c>
      <c r="E137" s="34" t="s">
        <v>76</v>
      </c>
      <c r="F137" s="49">
        <v>180</v>
      </c>
      <c r="G137" s="34" t="s">
        <v>51</v>
      </c>
      <c r="H137" s="49">
        <v>6.2899999999999998E-2</v>
      </c>
      <c r="I137" s="50">
        <v>19</v>
      </c>
      <c r="J137" s="50">
        <v>0</v>
      </c>
      <c r="K137" s="34" t="s">
        <v>77</v>
      </c>
    </row>
    <row r="138" spans="2:11" x14ac:dyDescent="0.45">
      <c r="B138" s="7" t="s">
        <v>11</v>
      </c>
      <c r="C138" s="7">
        <v>2012</v>
      </c>
      <c r="D138" s="7" t="s">
        <v>47</v>
      </c>
      <c r="E138" s="7" t="s">
        <v>76</v>
      </c>
      <c r="F138" s="25">
        <v>45</v>
      </c>
      <c r="G138" s="7" t="s">
        <v>51</v>
      </c>
      <c r="H138" s="25">
        <v>6.1199999999999997E-2</v>
      </c>
      <c r="I138" s="26">
        <v>19</v>
      </c>
      <c r="J138" s="26">
        <v>0</v>
      </c>
      <c r="K138" s="7" t="s">
        <v>77</v>
      </c>
    </row>
    <row r="139" spans="2:11" x14ac:dyDescent="0.45">
      <c r="B139" s="34" t="s">
        <v>11</v>
      </c>
      <c r="C139" s="34">
        <v>2012</v>
      </c>
      <c r="D139" s="34" t="s">
        <v>44</v>
      </c>
      <c r="E139" s="34" t="s">
        <v>74</v>
      </c>
      <c r="F139" s="49">
        <v>23.3</v>
      </c>
      <c r="G139" s="34" t="s">
        <v>51</v>
      </c>
      <c r="H139" s="49">
        <v>0.17100000000000001</v>
      </c>
      <c r="I139" s="50">
        <v>25</v>
      </c>
      <c r="J139" s="50">
        <v>0</v>
      </c>
      <c r="K139" s="34" t="s">
        <v>74</v>
      </c>
    </row>
    <row r="140" spans="2:11" x14ac:dyDescent="0.45">
      <c r="B140" s="7" t="s">
        <v>11</v>
      </c>
      <c r="C140" s="7">
        <v>2016</v>
      </c>
      <c r="D140" s="7" t="s">
        <v>47</v>
      </c>
      <c r="E140" s="7" t="s">
        <v>76</v>
      </c>
      <c r="F140" s="25">
        <v>50</v>
      </c>
      <c r="G140" s="7" t="s">
        <v>51</v>
      </c>
      <c r="H140" s="25">
        <v>6.2799999999999995E-2</v>
      </c>
      <c r="I140" s="26">
        <v>12</v>
      </c>
      <c r="J140" s="26">
        <v>2</v>
      </c>
      <c r="K140" s="7" t="s">
        <v>75</v>
      </c>
    </row>
    <row r="141" spans="2:11" x14ac:dyDescent="0.45">
      <c r="B141" s="34" t="s">
        <v>11</v>
      </c>
      <c r="C141" s="34">
        <v>2010</v>
      </c>
      <c r="D141" s="34" t="s">
        <v>44</v>
      </c>
      <c r="E141" s="34" t="s">
        <v>74</v>
      </c>
      <c r="F141" s="49">
        <v>70</v>
      </c>
      <c r="G141" s="34" t="s">
        <v>51</v>
      </c>
      <c r="H141" s="49">
        <v>0.16</v>
      </c>
      <c r="I141" s="50">
        <v>25</v>
      </c>
      <c r="J141" s="50">
        <v>0</v>
      </c>
      <c r="K141" s="34" t="s">
        <v>74</v>
      </c>
    </row>
    <row r="142" spans="2:11" x14ac:dyDescent="0.45">
      <c r="B142" s="7" t="s">
        <v>11</v>
      </c>
      <c r="C142" s="7">
        <v>2010</v>
      </c>
      <c r="D142" s="7" t="s">
        <v>44</v>
      </c>
      <c r="E142" s="7" t="s">
        <v>74</v>
      </c>
      <c r="F142" s="25">
        <v>70</v>
      </c>
      <c r="G142" s="7" t="s">
        <v>51</v>
      </c>
      <c r="H142" s="25">
        <v>0.16</v>
      </c>
      <c r="I142" s="26">
        <v>25</v>
      </c>
      <c r="J142" s="26">
        <v>0</v>
      </c>
      <c r="K142" s="7" t="s">
        <v>74</v>
      </c>
    </row>
    <row r="143" spans="2:11" x14ac:dyDescent="0.45">
      <c r="B143" s="34" t="s">
        <v>11</v>
      </c>
      <c r="C143" s="34">
        <v>2010</v>
      </c>
      <c r="D143" s="34" t="s">
        <v>47</v>
      </c>
      <c r="E143" s="34" t="s">
        <v>76</v>
      </c>
      <c r="F143" s="49">
        <v>98.08</v>
      </c>
      <c r="G143" s="34" t="s">
        <v>51</v>
      </c>
      <c r="H143" s="49">
        <v>0.02</v>
      </c>
      <c r="I143" s="50">
        <v>19</v>
      </c>
      <c r="J143" s="50">
        <v>0.5</v>
      </c>
      <c r="K143" s="34" t="s">
        <v>75</v>
      </c>
    </row>
    <row r="144" spans="2:11" x14ac:dyDescent="0.45">
      <c r="B144" s="7" t="s">
        <v>11</v>
      </c>
      <c r="C144" s="7">
        <v>2012</v>
      </c>
      <c r="D144" s="7" t="s">
        <v>47</v>
      </c>
      <c r="E144" s="7" t="s">
        <v>76</v>
      </c>
      <c r="F144" s="25">
        <v>382.49999997999998</v>
      </c>
      <c r="G144" s="7" t="s">
        <v>51</v>
      </c>
      <c r="H144" s="25">
        <v>0.02</v>
      </c>
      <c r="I144" s="26">
        <v>20</v>
      </c>
      <c r="J144" s="26">
        <v>8</v>
      </c>
      <c r="K144" s="7" t="s">
        <v>75</v>
      </c>
    </row>
    <row r="145" spans="2:11" x14ac:dyDescent="0.45">
      <c r="B145" s="34" t="s">
        <v>11</v>
      </c>
      <c r="C145" s="34">
        <v>2012</v>
      </c>
      <c r="D145" s="34" t="s">
        <v>49</v>
      </c>
      <c r="E145" s="34" t="s">
        <v>74</v>
      </c>
      <c r="F145" s="49">
        <v>67.499999996470578</v>
      </c>
      <c r="G145" s="34" t="s">
        <v>51</v>
      </c>
      <c r="H145" s="49">
        <v>0.23</v>
      </c>
      <c r="I145" s="50">
        <v>25</v>
      </c>
      <c r="J145" s="50">
        <v>0</v>
      </c>
      <c r="K145" s="34" t="s">
        <v>74</v>
      </c>
    </row>
    <row r="146" spans="2:11" x14ac:dyDescent="0.45">
      <c r="B146" s="7" t="s">
        <v>11</v>
      </c>
      <c r="C146" s="7">
        <v>2016</v>
      </c>
      <c r="D146" s="7" t="s">
        <v>47</v>
      </c>
      <c r="E146" s="7" t="s">
        <v>76</v>
      </c>
      <c r="F146" s="25">
        <v>403.513187701194</v>
      </c>
      <c r="G146" s="7" t="s">
        <v>51</v>
      </c>
      <c r="H146" s="25">
        <v>2E-3</v>
      </c>
      <c r="I146" s="26">
        <v>30</v>
      </c>
      <c r="J146" s="26">
        <v>10</v>
      </c>
      <c r="K146" s="7" t="s">
        <v>75</v>
      </c>
    </row>
    <row r="147" spans="2:11" x14ac:dyDescent="0.45">
      <c r="B147" s="34" t="s">
        <v>11</v>
      </c>
      <c r="C147" s="34">
        <v>2023</v>
      </c>
      <c r="D147" s="34" t="s">
        <v>47</v>
      </c>
      <c r="E147" s="34" t="s">
        <v>76</v>
      </c>
      <c r="F147" s="49">
        <v>46.6</v>
      </c>
      <c r="G147" s="34" t="s">
        <v>51</v>
      </c>
      <c r="H147" s="49">
        <v>2.3903633306096857E-2</v>
      </c>
      <c r="I147" s="50">
        <v>32.668289591298226</v>
      </c>
      <c r="J147" s="50">
        <v>6.9579862261231415</v>
      </c>
      <c r="K147" s="34" t="s">
        <v>75</v>
      </c>
    </row>
    <row r="148" spans="2:11" x14ac:dyDescent="0.45">
      <c r="B148" s="7" t="s">
        <v>11</v>
      </c>
      <c r="C148" s="7">
        <v>2018</v>
      </c>
      <c r="D148" s="7" t="s">
        <v>47</v>
      </c>
      <c r="E148" s="7" t="s">
        <v>76</v>
      </c>
      <c r="F148" s="25">
        <v>91.26</v>
      </c>
      <c r="G148" s="7" t="s">
        <v>51</v>
      </c>
      <c r="H148" s="25">
        <v>0.01</v>
      </c>
      <c r="I148" s="26">
        <v>30</v>
      </c>
      <c r="J148" s="26">
        <v>10</v>
      </c>
      <c r="K148" s="7" t="s">
        <v>75</v>
      </c>
    </row>
    <row r="149" spans="2:11" x14ac:dyDescent="0.45">
      <c r="B149" s="34" t="s">
        <v>29</v>
      </c>
      <c r="C149" s="34">
        <v>2010</v>
      </c>
      <c r="D149" s="34" t="s">
        <v>47</v>
      </c>
      <c r="E149" s="34" t="s">
        <v>76</v>
      </c>
      <c r="F149" s="49">
        <v>141.38999999999999</v>
      </c>
      <c r="G149" s="34" t="s">
        <v>51</v>
      </c>
      <c r="H149" s="49">
        <v>2.5000000000000001E-3</v>
      </c>
      <c r="I149" s="50">
        <v>40</v>
      </c>
      <c r="J149" s="50">
        <v>10</v>
      </c>
      <c r="K149" s="34" t="s">
        <v>75</v>
      </c>
    </row>
    <row r="150" spans="2:11" x14ac:dyDescent="0.45">
      <c r="B150" s="7" t="s">
        <v>29</v>
      </c>
      <c r="C150" s="7">
        <v>2010</v>
      </c>
      <c r="D150" s="7" t="s">
        <v>47</v>
      </c>
      <c r="E150" s="7" t="s">
        <v>76</v>
      </c>
      <c r="F150" s="25">
        <v>141.38999999999999</v>
      </c>
      <c r="G150" s="7" t="s">
        <v>51</v>
      </c>
      <c r="H150" s="25">
        <v>1E-3</v>
      </c>
      <c r="I150" s="26">
        <v>40</v>
      </c>
      <c r="J150" s="26">
        <v>10</v>
      </c>
      <c r="K150" s="7" t="s">
        <v>75</v>
      </c>
    </row>
    <row r="151" spans="2:11" x14ac:dyDescent="0.45">
      <c r="B151" s="34" t="s">
        <v>11</v>
      </c>
      <c r="C151" s="34">
        <v>2010</v>
      </c>
      <c r="D151" s="34" t="s">
        <v>47</v>
      </c>
      <c r="E151" s="34" t="s">
        <v>76</v>
      </c>
      <c r="F151" s="49">
        <v>336.24</v>
      </c>
      <c r="G151" s="34" t="s">
        <v>51</v>
      </c>
      <c r="H151" s="49">
        <v>2.8480255890268378E-3</v>
      </c>
      <c r="I151" s="50">
        <v>30</v>
      </c>
      <c r="J151" s="50">
        <v>10</v>
      </c>
      <c r="K151" s="34" t="s">
        <v>75</v>
      </c>
    </row>
    <row r="152" spans="2:11" x14ac:dyDescent="0.45">
      <c r="B152" s="7" t="s">
        <v>11</v>
      </c>
      <c r="C152" s="7">
        <v>2010</v>
      </c>
      <c r="D152" s="7" t="s">
        <v>47</v>
      </c>
      <c r="E152" s="7" t="s">
        <v>76</v>
      </c>
      <c r="F152" s="25">
        <v>210</v>
      </c>
      <c r="G152" s="7" t="s">
        <v>51</v>
      </c>
      <c r="H152" s="25">
        <v>2.4058710569794983E-2</v>
      </c>
      <c r="I152" s="26">
        <v>23.583342661777632</v>
      </c>
      <c r="J152" s="26">
        <v>6.5440636898279223</v>
      </c>
      <c r="K152" s="7" t="s">
        <v>75</v>
      </c>
    </row>
    <row r="153" spans="2:11" x14ac:dyDescent="0.45">
      <c r="B153" s="34" t="s">
        <v>11</v>
      </c>
      <c r="C153" s="34">
        <v>2010</v>
      </c>
      <c r="D153" s="34" t="s">
        <v>47</v>
      </c>
      <c r="E153" s="34" t="s">
        <v>76</v>
      </c>
      <c r="F153" s="49">
        <v>168</v>
      </c>
      <c r="G153" s="34" t="s">
        <v>51</v>
      </c>
      <c r="H153" s="49">
        <v>3.884E-2</v>
      </c>
      <c r="I153" s="50">
        <v>27</v>
      </c>
      <c r="J153" s="50">
        <v>6.9579862261231415</v>
      </c>
      <c r="K153" s="34" t="s">
        <v>75</v>
      </c>
    </row>
    <row r="154" spans="2:11" x14ac:dyDescent="0.45">
      <c r="B154" s="7" t="s">
        <v>11</v>
      </c>
      <c r="C154" s="7">
        <v>2010</v>
      </c>
      <c r="D154" s="7" t="s">
        <v>49</v>
      </c>
      <c r="E154" s="7" t="s">
        <v>74</v>
      </c>
      <c r="F154" s="25">
        <v>130</v>
      </c>
      <c r="G154" s="7" t="s">
        <v>51</v>
      </c>
      <c r="H154" s="25">
        <v>5.4833333329999998E-2</v>
      </c>
      <c r="I154" s="26">
        <v>25</v>
      </c>
      <c r="J154" s="26">
        <v>0</v>
      </c>
      <c r="K154" s="7" t="s">
        <v>74</v>
      </c>
    </row>
    <row r="155" spans="2:11" x14ac:dyDescent="0.45">
      <c r="B155" s="34" t="s">
        <v>11</v>
      </c>
      <c r="C155" s="34">
        <v>2010</v>
      </c>
      <c r="D155" s="34" t="s">
        <v>47</v>
      </c>
      <c r="E155" s="34" t="s">
        <v>76</v>
      </c>
      <c r="F155" s="49">
        <v>84</v>
      </c>
      <c r="G155" s="34" t="s">
        <v>51</v>
      </c>
      <c r="H155" s="49">
        <v>2.1999999999999999E-2</v>
      </c>
      <c r="I155" s="50">
        <v>12</v>
      </c>
      <c r="J155" s="50">
        <v>7.0783975996854291</v>
      </c>
      <c r="K155" s="34" t="s">
        <v>75</v>
      </c>
    </row>
    <row r="156" spans="2:11" x14ac:dyDescent="0.45">
      <c r="B156" s="7" t="s">
        <v>11</v>
      </c>
      <c r="C156" s="7">
        <v>2010</v>
      </c>
      <c r="D156" s="7" t="s">
        <v>47</v>
      </c>
      <c r="E156" s="7" t="s">
        <v>76</v>
      </c>
      <c r="F156" s="25">
        <v>120</v>
      </c>
      <c r="G156" s="7" t="s">
        <v>51</v>
      </c>
      <c r="H156" s="25">
        <v>3.5000000000000003E-2</v>
      </c>
      <c r="I156" s="26">
        <v>25</v>
      </c>
      <c r="J156" s="26">
        <v>7</v>
      </c>
      <c r="K156" s="7" t="s">
        <v>75</v>
      </c>
    </row>
    <row r="157" spans="2:11" x14ac:dyDescent="0.45">
      <c r="B157" s="34" t="s">
        <v>13</v>
      </c>
      <c r="C157" s="34">
        <v>2010</v>
      </c>
      <c r="D157" s="34" t="s">
        <v>47</v>
      </c>
      <c r="E157" s="34" t="s">
        <v>76</v>
      </c>
      <c r="F157" s="49">
        <v>10</v>
      </c>
      <c r="G157" s="34" t="s">
        <v>51</v>
      </c>
      <c r="H157" s="49">
        <v>0.05</v>
      </c>
      <c r="I157" s="50">
        <v>6.5833300000000001</v>
      </c>
      <c r="J157" s="50">
        <v>4.5</v>
      </c>
      <c r="K157" s="34" t="s">
        <v>75</v>
      </c>
    </row>
    <row r="158" spans="2:11" x14ac:dyDescent="0.45">
      <c r="B158" s="7" t="s">
        <v>13</v>
      </c>
      <c r="C158" s="7">
        <v>2010</v>
      </c>
      <c r="D158" s="7" t="s">
        <v>47</v>
      </c>
      <c r="E158" s="7" t="s">
        <v>76</v>
      </c>
      <c r="F158" s="25">
        <v>5</v>
      </c>
      <c r="G158" s="7" t="s">
        <v>51</v>
      </c>
      <c r="H158" s="25">
        <v>3.5000000000000003E-2</v>
      </c>
      <c r="I158" s="26">
        <v>40</v>
      </c>
      <c r="J158" s="26">
        <v>10</v>
      </c>
      <c r="K158" s="7" t="s">
        <v>75</v>
      </c>
    </row>
    <row r="159" spans="2:11" x14ac:dyDescent="0.45">
      <c r="B159" s="34" t="s">
        <v>13</v>
      </c>
      <c r="C159" s="34">
        <v>2010</v>
      </c>
      <c r="D159" s="34" t="s">
        <v>49</v>
      </c>
      <c r="E159" s="34" t="s">
        <v>74</v>
      </c>
      <c r="F159" s="49">
        <v>2</v>
      </c>
      <c r="G159" s="34" t="s">
        <v>51</v>
      </c>
      <c r="H159" s="49">
        <v>0.10366666669999999</v>
      </c>
      <c r="I159" s="50">
        <v>70</v>
      </c>
      <c r="J159" s="50">
        <v>0</v>
      </c>
      <c r="K159" s="34" t="s">
        <v>74</v>
      </c>
    </row>
    <row r="160" spans="2:11" x14ac:dyDescent="0.45">
      <c r="B160" s="7" t="s">
        <v>13</v>
      </c>
      <c r="C160" s="7">
        <v>2010</v>
      </c>
      <c r="D160" s="7" t="s">
        <v>49</v>
      </c>
      <c r="E160" s="7" t="s">
        <v>74</v>
      </c>
      <c r="F160" s="25">
        <v>30</v>
      </c>
      <c r="G160" s="7" t="s">
        <v>51</v>
      </c>
      <c r="H160" s="25">
        <v>0.10366666669999999</v>
      </c>
      <c r="I160" s="26">
        <v>70</v>
      </c>
      <c r="J160" s="26">
        <v>0</v>
      </c>
      <c r="K160" s="7" t="s">
        <v>74</v>
      </c>
    </row>
    <row r="161" spans="2:11" x14ac:dyDescent="0.45">
      <c r="B161" s="34" t="s">
        <v>13</v>
      </c>
      <c r="C161" s="34">
        <v>2010</v>
      </c>
      <c r="D161" s="34" t="s">
        <v>49</v>
      </c>
      <c r="E161" s="34" t="s">
        <v>76</v>
      </c>
      <c r="F161" s="49">
        <v>91</v>
      </c>
      <c r="G161" s="34" t="s">
        <v>51</v>
      </c>
      <c r="H161" s="49">
        <v>8.0000000000000002E-3</v>
      </c>
      <c r="I161" s="50">
        <v>26.6</v>
      </c>
      <c r="J161" s="50">
        <v>8.1</v>
      </c>
      <c r="K161" s="34" t="s">
        <v>75</v>
      </c>
    </row>
    <row r="162" spans="2:11" x14ac:dyDescent="0.45">
      <c r="B162" s="7" t="s">
        <v>13</v>
      </c>
      <c r="C162" s="7">
        <v>2010</v>
      </c>
      <c r="D162" s="7" t="s">
        <v>47</v>
      </c>
      <c r="E162" s="7" t="s">
        <v>76</v>
      </c>
      <c r="F162" s="25">
        <v>134</v>
      </c>
      <c r="G162" s="7" t="s">
        <v>51</v>
      </c>
      <c r="H162" s="25">
        <v>3.5000000000000003E-2</v>
      </c>
      <c r="I162" s="26">
        <v>25</v>
      </c>
      <c r="J162" s="26">
        <v>7</v>
      </c>
      <c r="K162" s="7" t="s">
        <v>75</v>
      </c>
    </row>
    <row r="163" spans="2:11" x14ac:dyDescent="0.45">
      <c r="B163" s="34" t="s">
        <v>29</v>
      </c>
      <c r="C163" s="34">
        <v>2010</v>
      </c>
      <c r="D163" s="34" t="s">
        <v>49</v>
      </c>
      <c r="E163" s="34" t="s">
        <v>74</v>
      </c>
      <c r="F163" s="49">
        <v>8</v>
      </c>
      <c r="G163" s="34" t="s">
        <v>51</v>
      </c>
      <c r="H163" s="49">
        <v>0.10366666669999999</v>
      </c>
      <c r="I163" s="50">
        <v>50</v>
      </c>
      <c r="J163" s="50">
        <v>0</v>
      </c>
      <c r="K163" s="34" t="s">
        <v>74</v>
      </c>
    </row>
    <row r="164" spans="2:11" x14ac:dyDescent="0.45">
      <c r="B164" s="7" t="s">
        <v>29</v>
      </c>
      <c r="C164" s="7">
        <v>2010</v>
      </c>
      <c r="D164" s="7" t="s">
        <v>47</v>
      </c>
      <c r="E164" s="7" t="s">
        <v>76</v>
      </c>
      <c r="F164" s="25">
        <v>64.5</v>
      </c>
      <c r="G164" s="7" t="s">
        <v>51</v>
      </c>
      <c r="H164" s="25">
        <v>3.5000000000000003E-2</v>
      </c>
      <c r="I164" s="26">
        <v>40</v>
      </c>
      <c r="J164" s="26">
        <v>10</v>
      </c>
      <c r="K164" s="7" t="s">
        <v>75</v>
      </c>
    </row>
    <row r="165" spans="2:11" x14ac:dyDescent="0.45">
      <c r="B165" s="34" t="s">
        <v>29</v>
      </c>
      <c r="C165" s="34">
        <v>2013</v>
      </c>
      <c r="D165" s="34" t="s">
        <v>47</v>
      </c>
      <c r="E165" s="34" t="s">
        <v>76</v>
      </c>
      <c r="F165" s="49">
        <v>15</v>
      </c>
      <c r="G165" s="34" t="s">
        <v>51</v>
      </c>
      <c r="H165" s="49">
        <v>0.01</v>
      </c>
      <c r="I165" s="50">
        <v>18</v>
      </c>
      <c r="J165" s="50">
        <v>4</v>
      </c>
      <c r="K165" s="34" t="s">
        <v>75</v>
      </c>
    </row>
    <row r="166" spans="2:11" x14ac:dyDescent="0.45">
      <c r="B166" s="7" t="s">
        <v>13</v>
      </c>
      <c r="C166" s="7">
        <v>2016</v>
      </c>
      <c r="D166" s="7" t="s">
        <v>47</v>
      </c>
      <c r="E166" s="7" t="s">
        <v>76</v>
      </c>
      <c r="F166" s="25">
        <v>10.5</v>
      </c>
      <c r="G166" s="7" t="s">
        <v>51</v>
      </c>
      <c r="H166" s="25">
        <v>2.8010093808630395E-2</v>
      </c>
      <c r="I166" s="26">
        <v>38</v>
      </c>
      <c r="J166" s="26">
        <v>6</v>
      </c>
      <c r="K166" s="7" t="s">
        <v>75</v>
      </c>
    </row>
    <row r="167" spans="2:11" x14ac:dyDescent="0.45">
      <c r="B167" s="34" t="s">
        <v>11</v>
      </c>
      <c r="C167" s="34">
        <v>2016</v>
      </c>
      <c r="D167" s="34" t="s">
        <v>47</v>
      </c>
      <c r="E167" s="34" t="s">
        <v>76</v>
      </c>
      <c r="F167" s="49">
        <v>53.2</v>
      </c>
      <c r="G167" s="34" t="s">
        <v>51</v>
      </c>
      <c r="H167" s="49">
        <v>2.8010093808630395E-2</v>
      </c>
      <c r="I167" s="50">
        <v>38</v>
      </c>
      <c r="J167" s="50">
        <v>6</v>
      </c>
      <c r="K167" s="34" t="s">
        <v>75</v>
      </c>
    </row>
    <row r="168" spans="2:11" x14ac:dyDescent="0.45">
      <c r="B168" s="7" t="s">
        <v>14</v>
      </c>
      <c r="C168" s="7">
        <v>2016</v>
      </c>
      <c r="D168" s="7" t="s">
        <v>47</v>
      </c>
      <c r="E168" s="7" t="s">
        <v>76</v>
      </c>
      <c r="F168" s="25">
        <v>53</v>
      </c>
      <c r="G168" s="7" t="s">
        <v>51</v>
      </c>
      <c r="H168" s="25">
        <v>2.3903633306096857E-2</v>
      </c>
      <c r="I168" s="26">
        <v>32.668289591298226</v>
      </c>
      <c r="J168" s="26">
        <v>6.9579862261231415</v>
      </c>
      <c r="K168" s="7" t="s">
        <v>75</v>
      </c>
    </row>
    <row r="169" spans="2:11" x14ac:dyDescent="0.45">
      <c r="B169" s="34" t="s">
        <v>14</v>
      </c>
      <c r="C169" s="34">
        <v>2019</v>
      </c>
      <c r="D169" s="34" t="s">
        <v>47</v>
      </c>
      <c r="E169" s="34" t="s">
        <v>76</v>
      </c>
      <c r="F169" s="49">
        <v>53</v>
      </c>
      <c r="G169" s="34" t="s">
        <v>51</v>
      </c>
      <c r="H169" s="49">
        <v>2.4058710569794983E-2</v>
      </c>
      <c r="I169" s="50">
        <v>23.583342661777632</v>
      </c>
      <c r="J169" s="50">
        <v>6.5440636898279223</v>
      </c>
      <c r="K169" s="34" t="s">
        <v>75</v>
      </c>
    </row>
    <row r="170" spans="2:11" x14ac:dyDescent="0.45">
      <c r="B170" s="7" t="s">
        <v>14</v>
      </c>
      <c r="C170" s="7">
        <v>2019</v>
      </c>
      <c r="D170" s="7" t="s">
        <v>44</v>
      </c>
      <c r="E170" s="7" t="s">
        <v>74</v>
      </c>
      <c r="F170" s="25">
        <v>41</v>
      </c>
      <c r="G170" s="7" t="s">
        <v>51</v>
      </c>
      <c r="H170" s="25">
        <v>5.2999999999999999E-2</v>
      </c>
      <c r="I170" s="26">
        <v>24</v>
      </c>
      <c r="J170" s="26">
        <v>0</v>
      </c>
      <c r="K170" s="7" t="s">
        <v>74</v>
      </c>
    </row>
    <row r="171" spans="2:11" x14ac:dyDescent="0.45">
      <c r="B171" s="34" t="s">
        <v>14</v>
      </c>
      <c r="C171" s="34">
        <v>2019</v>
      </c>
      <c r="D171" s="34" t="s">
        <v>47</v>
      </c>
      <c r="E171" s="34" t="s">
        <v>76</v>
      </c>
      <c r="F171" s="49">
        <v>1.1000000000000001</v>
      </c>
      <c r="G171" s="34" t="s">
        <v>51</v>
      </c>
      <c r="H171" s="49">
        <v>2.3903633306096857E-2</v>
      </c>
      <c r="I171" s="50">
        <v>32.668289591298226</v>
      </c>
      <c r="J171" s="50">
        <v>6.9579862261231415</v>
      </c>
      <c r="K171" s="34" t="s">
        <v>75</v>
      </c>
    </row>
    <row r="172" spans="2:11" x14ac:dyDescent="0.45">
      <c r="B172" s="7" t="s">
        <v>14</v>
      </c>
      <c r="C172" s="7">
        <v>2023</v>
      </c>
      <c r="D172" s="7" t="s">
        <v>44</v>
      </c>
      <c r="E172" s="7" t="s">
        <v>74</v>
      </c>
      <c r="F172" s="25">
        <v>14.725</v>
      </c>
      <c r="G172" s="7" t="s">
        <v>51</v>
      </c>
      <c r="H172" s="25">
        <v>5.2999999999999999E-2</v>
      </c>
      <c r="I172" s="26">
        <v>24</v>
      </c>
      <c r="J172" s="26">
        <v>0</v>
      </c>
      <c r="K172" s="7" t="s">
        <v>74</v>
      </c>
    </row>
    <row r="173" spans="2:11" x14ac:dyDescent="0.45">
      <c r="B173" s="34" t="s">
        <v>14</v>
      </c>
      <c r="C173" s="34">
        <v>2023</v>
      </c>
      <c r="D173" s="34" t="s">
        <v>44</v>
      </c>
      <c r="E173" s="34" t="s">
        <v>74</v>
      </c>
      <c r="F173" s="49">
        <v>14.725</v>
      </c>
      <c r="G173" s="34" t="s">
        <v>51</v>
      </c>
      <c r="H173" s="49">
        <v>5.2999999999999999E-2</v>
      </c>
      <c r="I173" s="50">
        <v>24</v>
      </c>
      <c r="J173" s="50">
        <v>0</v>
      </c>
      <c r="K173" s="34" t="s">
        <v>74</v>
      </c>
    </row>
    <row r="174" spans="2:11" x14ac:dyDescent="0.45">
      <c r="B174" s="7" t="s">
        <v>14</v>
      </c>
      <c r="C174" s="7">
        <v>2023</v>
      </c>
      <c r="D174" s="7" t="s">
        <v>44</v>
      </c>
      <c r="E174" s="7" t="s">
        <v>74</v>
      </c>
      <c r="F174" s="25">
        <v>14.725</v>
      </c>
      <c r="G174" s="7" t="s">
        <v>51</v>
      </c>
      <c r="H174" s="25">
        <v>5.2999999999999999E-2</v>
      </c>
      <c r="I174" s="26">
        <v>24</v>
      </c>
      <c r="J174" s="26">
        <v>0</v>
      </c>
      <c r="K174" s="7" t="s">
        <v>74</v>
      </c>
    </row>
    <row r="175" spans="2:11" x14ac:dyDescent="0.45">
      <c r="B175" s="34" t="s">
        <v>14</v>
      </c>
      <c r="C175" s="34">
        <v>2023</v>
      </c>
      <c r="D175" s="34" t="s">
        <v>44</v>
      </c>
      <c r="E175" s="34" t="s">
        <v>74</v>
      </c>
      <c r="F175" s="49">
        <v>14.725</v>
      </c>
      <c r="G175" s="34" t="s">
        <v>51</v>
      </c>
      <c r="H175" s="49">
        <v>5.2999999999999999E-2</v>
      </c>
      <c r="I175" s="50">
        <v>24</v>
      </c>
      <c r="J175" s="50">
        <v>0</v>
      </c>
      <c r="K175" s="34" t="s">
        <v>74</v>
      </c>
    </row>
    <row r="176" spans="2:11" x14ac:dyDescent="0.45">
      <c r="B176" s="7" t="s">
        <v>11</v>
      </c>
      <c r="C176" s="7">
        <v>2018</v>
      </c>
      <c r="D176" s="7" t="s">
        <v>49</v>
      </c>
      <c r="E176" s="7" t="s">
        <v>74</v>
      </c>
      <c r="F176" s="25">
        <v>150</v>
      </c>
      <c r="G176" s="7" t="s">
        <v>51</v>
      </c>
      <c r="H176" s="25">
        <v>0.29699999999999999</v>
      </c>
      <c r="I176" s="26">
        <v>25</v>
      </c>
      <c r="J176" s="26">
        <v>0</v>
      </c>
      <c r="K176" s="7" t="s">
        <v>74</v>
      </c>
    </row>
    <row r="177" spans="2:11" x14ac:dyDescent="0.45">
      <c r="B177" s="34" t="s">
        <v>11</v>
      </c>
      <c r="C177" s="34">
        <v>2018</v>
      </c>
      <c r="D177" s="34" t="s">
        <v>44</v>
      </c>
      <c r="E177" s="34" t="s">
        <v>74</v>
      </c>
      <c r="F177" s="49">
        <v>75</v>
      </c>
      <c r="G177" s="34" t="s">
        <v>51</v>
      </c>
      <c r="H177" s="49">
        <v>0.16800000000000001</v>
      </c>
      <c r="I177" s="50">
        <v>25</v>
      </c>
      <c r="J177" s="50">
        <v>0</v>
      </c>
      <c r="K177" s="34" t="s">
        <v>74</v>
      </c>
    </row>
    <row r="178" spans="2:11" x14ac:dyDescent="0.45">
      <c r="B178" s="7" t="s">
        <v>11</v>
      </c>
      <c r="C178" s="7">
        <v>2018</v>
      </c>
      <c r="D178" s="7" t="s">
        <v>44</v>
      </c>
      <c r="E178" s="7" t="s">
        <v>76</v>
      </c>
      <c r="F178" s="25">
        <v>75</v>
      </c>
      <c r="G178" s="7" t="s">
        <v>51</v>
      </c>
      <c r="H178" s="25">
        <v>0.18</v>
      </c>
      <c r="I178" s="26">
        <v>20</v>
      </c>
      <c r="J178" s="26">
        <v>10</v>
      </c>
      <c r="K178" s="7" t="s">
        <v>75</v>
      </c>
    </row>
    <row r="179" spans="2:11" x14ac:dyDescent="0.45">
      <c r="B179" s="34" t="s">
        <v>25</v>
      </c>
      <c r="C179" s="34">
        <v>2012</v>
      </c>
      <c r="D179" s="34" t="s">
        <v>47</v>
      </c>
      <c r="E179" s="34" t="s">
        <v>76</v>
      </c>
      <c r="F179" s="49">
        <v>38.25</v>
      </c>
      <c r="G179" s="34" t="s">
        <v>51</v>
      </c>
      <c r="H179" s="49">
        <v>7.3400000000000007E-2</v>
      </c>
      <c r="I179" s="50">
        <v>15</v>
      </c>
      <c r="J179" s="50">
        <v>1.5</v>
      </c>
      <c r="K179" s="34" t="s">
        <v>75</v>
      </c>
    </row>
    <row r="180" spans="2:11" x14ac:dyDescent="0.45">
      <c r="B180" s="7" t="s">
        <v>25</v>
      </c>
      <c r="C180" s="7">
        <v>2012</v>
      </c>
      <c r="D180" s="7" t="s">
        <v>44</v>
      </c>
      <c r="E180" s="7" t="s">
        <v>76</v>
      </c>
      <c r="F180" s="25">
        <v>38.25</v>
      </c>
      <c r="G180" s="7" t="s">
        <v>51</v>
      </c>
      <c r="H180" s="25">
        <v>7.3400000000000007E-2</v>
      </c>
      <c r="I180" s="26">
        <v>15</v>
      </c>
      <c r="J180" s="26">
        <v>1.5</v>
      </c>
      <c r="K180" s="7" t="s">
        <v>75</v>
      </c>
    </row>
    <row r="181" spans="2:11" x14ac:dyDescent="0.45">
      <c r="B181" s="34" t="s">
        <v>25</v>
      </c>
      <c r="C181" s="34">
        <v>2012</v>
      </c>
      <c r="D181" s="34" t="s">
        <v>44</v>
      </c>
      <c r="E181" s="34" t="s">
        <v>74</v>
      </c>
      <c r="F181" s="49">
        <v>38.25</v>
      </c>
      <c r="G181" s="34" t="s">
        <v>51</v>
      </c>
      <c r="H181" s="49">
        <v>0.151</v>
      </c>
      <c r="I181" s="50">
        <v>50</v>
      </c>
      <c r="J181" s="50">
        <v>0</v>
      </c>
      <c r="K181" s="34" t="s">
        <v>74</v>
      </c>
    </row>
    <row r="182" spans="2:11" x14ac:dyDescent="0.45">
      <c r="B182" s="7" t="s">
        <v>25</v>
      </c>
      <c r="C182" s="7">
        <v>2012</v>
      </c>
      <c r="D182" s="7" t="s">
        <v>47</v>
      </c>
      <c r="E182" s="7" t="s">
        <v>76</v>
      </c>
      <c r="F182" s="25">
        <v>38.25</v>
      </c>
      <c r="G182" s="7" t="s">
        <v>51</v>
      </c>
      <c r="H182" s="25">
        <v>7.3400000000000007E-2</v>
      </c>
      <c r="I182" s="26">
        <v>15</v>
      </c>
      <c r="J182" s="26">
        <v>1.5</v>
      </c>
      <c r="K182" s="7" t="s">
        <v>75</v>
      </c>
    </row>
    <row r="183" spans="2:11" x14ac:dyDescent="0.45">
      <c r="B183" s="34" t="s">
        <v>14</v>
      </c>
      <c r="C183" s="34">
        <v>2019</v>
      </c>
      <c r="D183" s="34" t="s">
        <v>47</v>
      </c>
      <c r="E183" s="34" t="s">
        <v>76</v>
      </c>
      <c r="F183" s="49">
        <v>1.1000000000000001</v>
      </c>
      <c r="G183" s="34" t="s">
        <v>51</v>
      </c>
      <c r="H183" s="49">
        <v>2.3903633306096857E-2</v>
      </c>
      <c r="I183" s="50">
        <v>32.668289591298226</v>
      </c>
      <c r="J183" s="50">
        <v>6.9579862261231415</v>
      </c>
      <c r="K183" s="34" t="s">
        <v>74</v>
      </c>
    </row>
    <row r="184" spans="2:11" x14ac:dyDescent="0.45">
      <c r="B184" s="7" t="s">
        <v>25</v>
      </c>
      <c r="C184" s="7">
        <v>2013</v>
      </c>
      <c r="D184" s="7" t="s">
        <v>44</v>
      </c>
      <c r="E184" s="7" t="s">
        <v>76</v>
      </c>
      <c r="F184" s="25">
        <v>80</v>
      </c>
      <c r="G184" s="7" t="s">
        <v>51</v>
      </c>
      <c r="H184" s="25">
        <v>8.7800000000000003E-2</v>
      </c>
      <c r="I184" s="26">
        <v>15</v>
      </c>
      <c r="J184" s="26">
        <v>1.5</v>
      </c>
      <c r="K184" s="7" t="s">
        <v>75</v>
      </c>
    </row>
    <row r="185" spans="2:11" x14ac:dyDescent="0.45">
      <c r="B185" s="34" t="s">
        <v>25</v>
      </c>
      <c r="C185" s="34">
        <v>2013</v>
      </c>
      <c r="D185" s="34" t="s">
        <v>44</v>
      </c>
      <c r="E185" s="34" t="s">
        <v>76</v>
      </c>
      <c r="F185" s="49">
        <v>28</v>
      </c>
      <c r="G185" s="34" t="s">
        <v>51</v>
      </c>
      <c r="H185" s="49">
        <v>8.7800000000000003E-2</v>
      </c>
      <c r="I185" s="50">
        <v>15</v>
      </c>
      <c r="J185" s="50">
        <v>1.5</v>
      </c>
      <c r="K185" s="34" t="s">
        <v>75</v>
      </c>
    </row>
    <row r="186" spans="2:11" x14ac:dyDescent="0.45">
      <c r="B186" s="7" t="s">
        <v>25</v>
      </c>
      <c r="C186" s="7">
        <v>2013</v>
      </c>
      <c r="D186" s="7" t="s">
        <v>45</v>
      </c>
      <c r="E186" s="7" t="s">
        <v>76</v>
      </c>
      <c r="F186" s="25">
        <v>36.4</v>
      </c>
      <c r="G186" s="7" t="s">
        <v>51</v>
      </c>
      <c r="H186" s="25">
        <v>0.18</v>
      </c>
      <c r="I186" s="26">
        <v>20</v>
      </c>
      <c r="J186" s="26">
        <v>10</v>
      </c>
      <c r="K186" s="7" t="s">
        <v>74</v>
      </c>
    </row>
    <row r="187" spans="2:11" x14ac:dyDescent="0.45">
      <c r="B187" s="34" t="s">
        <v>25</v>
      </c>
      <c r="C187" s="34">
        <v>2013</v>
      </c>
      <c r="D187" s="34" t="s">
        <v>45</v>
      </c>
      <c r="E187" s="34" t="s">
        <v>74</v>
      </c>
      <c r="F187" s="49">
        <v>2.9</v>
      </c>
      <c r="G187" s="34" t="s">
        <v>51</v>
      </c>
      <c r="H187" s="49">
        <v>0.14699999999999999</v>
      </c>
      <c r="I187" s="50">
        <v>25</v>
      </c>
      <c r="J187" s="50">
        <v>0</v>
      </c>
      <c r="K187" s="34" t="s">
        <v>74</v>
      </c>
    </row>
    <row r="188" spans="2:11" x14ac:dyDescent="0.45">
      <c r="B188" s="7"/>
      <c r="C188" s="7"/>
      <c r="D188" s="7"/>
      <c r="E188" s="7"/>
      <c r="F188" s="25"/>
      <c r="G188" s="7"/>
      <c r="H188" s="25"/>
      <c r="I188" s="26"/>
      <c r="J188" s="26"/>
      <c r="K188" s="7"/>
    </row>
    <row r="189" spans="2:11" x14ac:dyDescent="0.45">
      <c r="B189" s="34"/>
      <c r="C189" s="34"/>
      <c r="D189" s="34"/>
      <c r="E189" s="34"/>
      <c r="F189" s="49"/>
      <c r="G189" s="34"/>
      <c r="H189" s="49"/>
      <c r="I189" s="50"/>
      <c r="J189" s="50"/>
      <c r="K189" s="34"/>
    </row>
    <row r="190" spans="2:11" x14ac:dyDescent="0.45">
      <c r="B190" s="7"/>
      <c r="C190" s="7"/>
      <c r="D190" s="7"/>
      <c r="E190" s="7"/>
      <c r="F190" s="25"/>
      <c r="G190" s="7"/>
      <c r="H190" s="25"/>
      <c r="I190" s="26"/>
      <c r="J190" s="26"/>
      <c r="K190" s="7"/>
    </row>
    <row r="191" spans="2:11" x14ac:dyDescent="0.45">
      <c r="B191" s="34"/>
      <c r="C191" s="34"/>
      <c r="D191" s="34"/>
      <c r="E191" s="34"/>
      <c r="F191" s="49"/>
      <c r="G191" s="34"/>
      <c r="H191" s="49"/>
      <c r="I191" s="50"/>
      <c r="J191" s="50"/>
      <c r="K191" s="34"/>
    </row>
    <row r="192" spans="2:11" x14ac:dyDescent="0.45">
      <c r="B192" s="7"/>
      <c r="C192" s="7"/>
      <c r="D192" s="7"/>
      <c r="E192" s="7"/>
      <c r="F192" s="25"/>
      <c r="G192" s="7"/>
      <c r="H192" s="25"/>
      <c r="I192" s="26"/>
      <c r="J192" s="26"/>
      <c r="K192" s="7"/>
    </row>
    <row r="193" spans="2:11" x14ac:dyDescent="0.45">
      <c r="B193" s="34"/>
      <c r="C193" s="34"/>
      <c r="D193" s="34"/>
      <c r="E193" s="34"/>
      <c r="F193" s="49"/>
      <c r="G193" s="34"/>
      <c r="H193" s="49"/>
      <c r="I193" s="50"/>
      <c r="J193" s="50"/>
      <c r="K193" s="34"/>
    </row>
    <row r="194" spans="2:11" x14ac:dyDescent="0.45">
      <c r="B194" s="7"/>
      <c r="C194" s="7"/>
      <c r="D194" s="7"/>
      <c r="E194" s="7"/>
      <c r="F194" s="25"/>
      <c r="G194" s="7"/>
      <c r="H194" s="25"/>
      <c r="I194" s="26"/>
      <c r="J194" s="26"/>
      <c r="K194" s="7"/>
    </row>
    <row r="195" spans="2:11" x14ac:dyDescent="0.45">
      <c r="B195" s="34"/>
      <c r="C195" s="34"/>
      <c r="D195" s="34"/>
      <c r="E195" s="34"/>
      <c r="F195" s="49"/>
      <c r="G195" s="34"/>
      <c r="H195" s="49"/>
      <c r="I195" s="50"/>
      <c r="J195" s="50"/>
      <c r="K195" s="34"/>
    </row>
    <row r="196" spans="2:11" x14ac:dyDescent="0.45">
      <c r="B196" s="7"/>
      <c r="C196" s="7"/>
      <c r="D196" s="7"/>
      <c r="E196" s="7"/>
      <c r="F196" s="25"/>
      <c r="G196" s="7"/>
      <c r="H196" s="25"/>
      <c r="I196" s="26"/>
      <c r="J196" s="26"/>
      <c r="K196" s="7"/>
    </row>
    <row r="197" spans="2:11" x14ac:dyDescent="0.45">
      <c r="B197" s="34"/>
      <c r="C197" s="34"/>
      <c r="D197" s="34"/>
      <c r="E197" s="34"/>
      <c r="F197" s="49"/>
      <c r="G197" s="34"/>
      <c r="H197" s="49"/>
      <c r="I197" s="50"/>
      <c r="J197" s="50"/>
      <c r="K197" s="34"/>
    </row>
    <row r="198" spans="2:11" x14ac:dyDescent="0.45">
      <c r="B198" s="7"/>
      <c r="C198" s="7"/>
      <c r="D198" s="7"/>
      <c r="E198" s="7"/>
      <c r="F198" s="25"/>
      <c r="G198" s="7"/>
      <c r="H198" s="25"/>
      <c r="I198" s="26"/>
      <c r="J198" s="26"/>
      <c r="K198" s="7"/>
    </row>
    <row r="199" spans="2:11" x14ac:dyDescent="0.45">
      <c r="B199" s="34"/>
      <c r="C199" s="34"/>
      <c r="D199" s="34"/>
      <c r="E199" s="34"/>
      <c r="F199" s="49"/>
      <c r="G199" s="34"/>
      <c r="H199" s="49"/>
      <c r="I199" s="50"/>
      <c r="J199" s="50"/>
      <c r="K199" s="34"/>
    </row>
    <row r="200" spans="2:11" x14ac:dyDescent="0.45">
      <c r="B200" s="7"/>
      <c r="C200" s="7"/>
      <c r="D200" s="7"/>
      <c r="E200" s="7"/>
      <c r="F200" s="25"/>
      <c r="G200" s="7"/>
      <c r="H200" s="25"/>
      <c r="I200" s="26"/>
      <c r="J200" s="26"/>
      <c r="K200" s="7"/>
    </row>
    <row r="201" spans="2:11" x14ac:dyDescent="0.45">
      <c r="B201" s="34"/>
      <c r="C201" s="34"/>
      <c r="D201" s="34"/>
      <c r="E201" s="34"/>
      <c r="F201" s="49"/>
      <c r="G201" s="34"/>
      <c r="H201" s="49"/>
      <c r="I201" s="50"/>
      <c r="J201" s="50"/>
      <c r="K201" s="34"/>
    </row>
    <row r="202" spans="2:11" x14ac:dyDescent="0.45">
      <c r="B202" s="7"/>
      <c r="C202" s="7"/>
      <c r="D202" s="7"/>
      <c r="E202" s="7"/>
      <c r="F202" s="25"/>
      <c r="G202" s="7"/>
      <c r="H202" s="25"/>
      <c r="I202" s="26"/>
      <c r="J202" s="26"/>
      <c r="K202" s="7"/>
    </row>
    <row r="203" spans="2:11" x14ac:dyDescent="0.45">
      <c r="B203" s="34"/>
      <c r="C203" s="34"/>
      <c r="D203" s="34"/>
      <c r="E203" s="34"/>
      <c r="F203" s="49"/>
      <c r="G203" s="34"/>
      <c r="H203" s="49"/>
      <c r="I203" s="50"/>
      <c r="J203" s="50"/>
      <c r="K203" s="34"/>
    </row>
    <row r="204" spans="2:11" x14ac:dyDescent="0.45">
      <c r="B204" s="7"/>
      <c r="C204" s="7"/>
      <c r="D204" s="7"/>
      <c r="E204" s="7"/>
      <c r="F204" s="25"/>
      <c r="G204" s="7"/>
      <c r="H204" s="25"/>
      <c r="I204" s="26"/>
      <c r="J204" s="26"/>
      <c r="K204" s="7"/>
    </row>
    <row r="205" spans="2:11" x14ac:dyDescent="0.45">
      <c r="B205" s="34"/>
      <c r="C205" s="34"/>
      <c r="D205" s="34"/>
      <c r="E205" s="34"/>
      <c r="F205" s="49"/>
      <c r="G205" s="34"/>
      <c r="H205" s="49"/>
      <c r="I205" s="50"/>
      <c r="J205" s="50"/>
      <c r="K205" s="34"/>
    </row>
    <row r="206" spans="2:11" x14ac:dyDescent="0.45">
      <c r="B206" s="7"/>
      <c r="C206" s="7"/>
      <c r="D206" s="7"/>
      <c r="E206" s="7"/>
      <c r="F206" s="25"/>
      <c r="G206" s="7"/>
      <c r="H206" s="25"/>
      <c r="I206" s="26"/>
      <c r="J206" s="26"/>
      <c r="K206" s="7"/>
    </row>
    <row r="207" spans="2:11" x14ac:dyDescent="0.45">
      <c r="B207" s="34"/>
      <c r="C207" s="34"/>
      <c r="D207" s="34"/>
      <c r="E207" s="34"/>
      <c r="F207" s="49"/>
      <c r="G207" s="34"/>
      <c r="H207" s="49"/>
      <c r="I207" s="50"/>
      <c r="J207" s="50"/>
      <c r="K207" s="34"/>
    </row>
    <row r="208" spans="2:11" x14ac:dyDescent="0.45">
      <c r="B208" s="7"/>
      <c r="C208" s="7"/>
      <c r="D208" s="7"/>
      <c r="E208" s="7"/>
      <c r="F208" s="25"/>
      <c r="G208" s="7"/>
      <c r="H208" s="25"/>
      <c r="I208" s="26"/>
      <c r="J208" s="26"/>
      <c r="K208" s="7"/>
    </row>
    <row r="209" spans="2:11" x14ac:dyDescent="0.45">
      <c r="B209" s="34"/>
      <c r="C209" s="34"/>
      <c r="D209" s="34"/>
      <c r="E209" s="34"/>
      <c r="F209" s="49"/>
      <c r="G209" s="34"/>
      <c r="H209" s="49"/>
      <c r="I209" s="50"/>
      <c r="J209" s="50"/>
      <c r="K209" s="34"/>
    </row>
    <row r="210" spans="2:11" x14ac:dyDescent="0.45">
      <c r="B210" s="7"/>
      <c r="C210" s="7"/>
      <c r="D210" s="7"/>
      <c r="E210" s="7"/>
      <c r="F210" s="25"/>
      <c r="G210" s="7"/>
      <c r="H210" s="25"/>
      <c r="I210" s="26"/>
      <c r="J210" s="26"/>
      <c r="K210" s="7"/>
    </row>
    <row r="211" spans="2:11" x14ac:dyDescent="0.45">
      <c r="B211" s="34"/>
      <c r="C211" s="34"/>
      <c r="D211" s="34"/>
      <c r="E211" s="34"/>
      <c r="F211" s="49"/>
      <c r="G211" s="34"/>
      <c r="H211" s="49"/>
      <c r="I211" s="50"/>
      <c r="J211" s="50"/>
      <c r="K211" s="34"/>
    </row>
    <row r="212" spans="2:11" x14ac:dyDescent="0.45">
      <c r="B212" s="7"/>
      <c r="C212" s="7"/>
      <c r="D212" s="7"/>
      <c r="E212" s="7"/>
      <c r="F212" s="25"/>
      <c r="G212" s="7"/>
      <c r="H212" s="25"/>
      <c r="I212" s="26"/>
      <c r="J212" s="26"/>
      <c r="K212" s="7"/>
    </row>
    <row r="213" spans="2:11" x14ac:dyDescent="0.45">
      <c r="B213" s="34"/>
      <c r="C213" s="34"/>
      <c r="D213" s="34"/>
      <c r="E213" s="34"/>
      <c r="F213" s="49"/>
      <c r="G213" s="34"/>
      <c r="H213" s="49"/>
      <c r="I213" s="50"/>
      <c r="J213" s="50"/>
      <c r="K213" s="34"/>
    </row>
    <row r="214" spans="2:11" x14ac:dyDescent="0.45">
      <c r="B214" s="7"/>
      <c r="C214" s="7"/>
      <c r="D214" s="7"/>
      <c r="E214" s="7"/>
      <c r="F214" s="25"/>
      <c r="G214" s="7"/>
      <c r="H214" s="25"/>
      <c r="I214" s="26"/>
      <c r="J214" s="26"/>
      <c r="K214" s="7"/>
    </row>
    <row r="215" spans="2:11" x14ac:dyDescent="0.45">
      <c r="B215" s="34"/>
      <c r="C215" s="34"/>
      <c r="D215" s="34"/>
      <c r="E215" s="34"/>
      <c r="F215" s="49"/>
      <c r="G215" s="34"/>
      <c r="H215" s="49"/>
      <c r="I215" s="50"/>
      <c r="J215" s="50"/>
      <c r="K215" s="34"/>
    </row>
    <row r="216" spans="2:11" x14ac:dyDescent="0.45">
      <c r="B216" s="7"/>
      <c r="C216" s="7"/>
      <c r="D216" s="7"/>
      <c r="E216" s="7"/>
      <c r="F216" s="25"/>
      <c r="G216" s="7"/>
      <c r="H216" s="25"/>
      <c r="I216" s="26"/>
      <c r="J216" s="26"/>
      <c r="K216" s="7"/>
    </row>
    <row r="217" spans="2:11" x14ac:dyDescent="0.45">
      <c r="B217" s="34"/>
      <c r="C217" s="34"/>
      <c r="D217" s="34"/>
      <c r="E217" s="34"/>
      <c r="F217" s="49"/>
      <c r="G217" s="34"/>
      <c r="H217" s="49"/>
      <c r="I217" s="50"/>
      <c r="J217" s="50"/>
      <c r="K217" s="34"/>
    </row>
    <row r="218" spans="2:11" x14ac:dyDescent="0.45">
      <c r="B218" s="7"/>
      <c r="C218" s="7"/>
      <c r="D218" s="7"/>
      <c r="E218" s="7"/>
      <c r="F218" s="25"/>
      <c r="G218" s="7"/>
      <c r="H218" s="25"/>
      <c r="I218" s="26"/>
      <c r="J218" s="26"/>
      <c r="K218" s="7"/>
    </row>
    <row r="219" spans="2:11" x14ac:dyDescent="0.45">
      <c r="B219" s="34"/>
      <c r="C219" s="34"/>
      <c r="D219" s="34"/>
      <c r="E219" s="34"/>
      <c r="F219" s="49"/>
      <c r="G219" s="34"/>
      <c r="H219" s="49"/>
      <c r="I219" s="50"/>
      <c r="J219" s="50"/>
      <c r="K219" s="34"/>
    </row>
    <row r="220" spans="2:11" x14ac:dyDescent="0.45">
      <c r="B220" s="7"/>
      <c r="C220" s="7"/>
      <c r="D220" s="7"/>
      <c r="E220" s="7"/>
      <c r="F220" s="25"/>
      <c r="G220" s="7"/>
      <c r="H220" s="25"/>
      <c r="I220" s="26"/>
      <c r="J220" s="26"/>
      <c r="K220" s="7"/>
    </row>
    <row r="221" spans="2:11" x14ac:dyDescent="0.45">
      <c r="B221" s="34"/>
      <c r="C221" s="34"/>
      <c r="D221" s="34"/>
      <c r="E221" s="34"/>
      <c r="F221" s="49"/>
      <c r="G221" s="34"/>
      <c r="H221" s="49"/>
      <c r="I221" s="50"/>
      <c r="J221" s="50"/>
      <c r="K221" s="34"/>
    </row>
    <row r="222" spans="2:11" x14ac:dyDescent="0.45">
      <c r="B222" s="7"/>
      <c r="C222" s="7"/>
      <c r="D222" s="7"/>
      <c r="E222" s="7"/>
      <c r="F222" s="25"/>
      <c r="G222" s="7"/>
      <c r="H222" s="25"/>
      <c r="I222" s="26"/>
      <c r="J222" s="26"/>
      <c r="K222" s="7"/>
    </row>
    <row r="223" spans="2:11" x14ac:dyDescent="0.45">
      <c r="B223" s="34"/>
      <c r="C223" s="34"/>
      <c r="D223" s="34"/>
      <c r="E223" s="34"/>
      <c r="F223" s="49"/>
      <c r="G223" s="34"/>
      <c r="H223" s="49"/>
      <c r="I223" s="50"/>
      <c r="J223" s="50"/>
      <c r="K223" s="34"/>
    </row>
    <row r="224" spans="2:11" x14ac:dyDescent="0.45">
      <c r="B224" s="7"/>
      <c r="C224" s="7"/>
      <c r="D224" s="7"/>
      <c r="E224" s="7"/>
      <c r="F224" s="25"/>
      <c r="G224" s="7"/>
      <c r="H224" s="25"/>
      <c r="I224" s="26"/>
      <c r="J224" s="26"/>
      <c r="K224" s="7"/>
    </row>
    <row r="225" spans="2:11" x14ac:dyDescent="0.45">
      <c r="B225" s="34"/>
      <c r="C225" s="34"/>
      <c r="D225" s="34"/>
      <c r="E225" s="34"/>
      <c r="F225" s="49"/>
      <c r="G225" s="34"/>
      <c r="H225" s="49"/>
      <c r="I225" s="50"/>
      <c r="J225" s="50"/>
      <c r="K225" s="34"/>
    </row>
    <row r="226" spans="2:11" x14ac:dyDescent="0.45">
      <c r="B226" s="7"/>
      <c r="C226" s="7"/>
      <c r="D226" s="7"/>
      <c r="E226" s="7"/>
      <c r="F226" s="25"/>
      <c r="G226" s="7"/>
      <c r="H226" s="25"/>
      <c r="I226" s="26"/>
      <c r="J226" s="26"/>
      <c r="K226" s="7"/>
    </row>
    <row r="227" spans="2:11" x14ac:dyDescent="0.45">
      <c r="B227" s="34"/>
      <c r="C227" s="34"/>
      <c r="D227" s="34"/>
      <c r="E227" s="34"/>
      <c r="F227" s="49"/>
      <c r="G227" s="34"/>
      <c r="H227" s="49"/>
      <c r="I227" s="50"/>
      <c r="J227" s="50"/>
      <c r="K227" s="34"/>
    </row>
    <row r="228" spans="2:11" x14ac:dyDescent="0.45">
      <c r="B228" s="7"/>
      <c r="C228" s="7"/>
      <c r="D228" s="7"/>
      <c r="E228" s="7"/>
      <c r="F228" s="25"/>
      <c r="G228" s="7"/>
      <c r="H228" s="25"/>
      <c r="I228" s="26"/>
      <c r="J228" s="26"/>
      <c r="K228" s="7"/>
    </row>
    <row r="229" spans="2:11" x14ac:dyDescent="0.45">
      <c r="B229" s="34"/>
      <c r="C229" s="34"/>
      <c r="D229" s="34"/>
      <c r="E229" s="34"/>
      <c r="F229" s="49"/>
      <c r="G229" s="34"/>
      <c r="H229" s="49"/>
      <c r="I229" s="50"/>
      <c r="J229" s="50"/>
      <c r="K229" s="34"/>
    </row>
    <row r="230" spans="2:11" x14ac:dyDescent="0.45">
      <c r="B230" s="7"/>
      <c r="C230" s="7"/>
      <c r="D230" s="7"/>
      <c r="E230" s="7"/>
      <c r="F230" s="25"/>
      <c r="G230" s="7"/>
      <c r="H230" s="25"/>
      <c r="I230" s="26"/>
      <c r="J230" s="26"/>
      <c r="K230" s="7"/>
    </row>
    <row r="231" spans="2:11" x14ac:dyDescent="0.45">
      <c r="B231" s="34"/>
      <c r="C231" s="34"/>
      <c r="D231" s="34"/>
      <c r="E231" s="34"/>
      <c r="F231" s="49"/>
      <c r="G231" s="34"/>
      <c r="H231" s="49"/>
      <c r="I231" s="50"/>
      <c r="J231" s="50"/>
      <c r="K231" s="34"/>
    </row>
    <row r="232" spans="2:11" x14ac:dyDescent="0.45">
      <c r="B232" s="7"/>
      <c r="C232" s="7"/>
      <c r="D232" s="7"/>
      <c r="E232" s="7"/>
      <c r="F232" s="25"/>
      <c r="G232" s="7"/>
      <c r="H232" s="25"/>
      <c r="I232" s="26"/>
      <c r="J232" s="26"/>
      <c r="K232" s="7"/>
    </row>
    <row r="233" spans="2:11" x14ac:dyDescent="0.45">
      <c r="B233" s="34"/>
      <c r="C233" s="34"/>
      <c r="D233" s="34"/>
      <c r="E233" s="34"/>
      <c r="F233" s="49"/>
      <c r="G233" s="34"/>
      <c r="H233" s="49"/>
      <c r="I233" s="50"/>
      <c r="J233" s="50"/>
      <c r="K233" s="34"/>
    </row>
    <row r="234" spans="2:11" x14ac:dyDescent="0.45">
      <c r="B234" s="7"/>
      <c r="C234" s="7"/>
      <c r="D234" s="7"/>
      <c r="E234" s="7"/>
      <c r="F234" s="25"/>
      <c r="G234" s="7"/>
      <c r="H234" s="25"/>
      <c r="I234" s="26"/>
      <c r="J234" s="26"/>
      <c r="K234" s="7"/>
    </row>
    <row r="235" spans="2:11" x14ac:dyDescent="0.45">
      <c r="B235" s="34"/>
      <c r="C235" s="34"/>
      <c r="D235" s="34"/>
      <c r="E235" s="34"/>
      <c r="F235" s="49"/>
      <c r="G235" s="34"/>
      <c r="H235" s="49"/>
      <c r="I235" s="50"/>
      <c r="J235" s="50"/>
      <c r="K235" s="34"/>
    </row>
    <row r="236" spans="2:11" x14ac:dyDescent="0.45">
      <c r="B236" s="7"/>
      <c r="C236" s="7"/>
      <c r="D236" s="7"/>
      <c r="E236" s="7"/>
      <c r="F236" s="25"/>
      <c r="G236" s="7"/>
      <c r="H236" s="25"/>
      <c r="I236" s="26"/>
      <c r="J236" s="26"/>
      <c r="K236" s="7"/>
    </row>
    <row r="237" spans="2:11" x14ac:dyDescent="0.45">
      <c r="B237" s="34"/>
      <c r="C237" s="34"/>
      <c r="D237" s="34"/>
      <c r="E237" s="34"/>
      <c r="F237" s="49"/>
      <c r="G237" s="34"/>
      <c r="H237" s="49"/>
      <c r="I237" s="50"/>
      <c r="J237" s="50"/>
      <c r="K237" s="34"/>
    </row>
    <row r="238" spans="2:11" x14ac:dyDescent="0.45">
      <c r="B238" s="7"/>
      <c r="C238" s="7"/>
      <c r="D238" s="7"/>
      <c r="E238" s="7"/>
      <c r="F238" s="25"/>
      <c r="G238" s="7"/>
      <c r="H238" s="25"/>
      <c r="I238" s="26"/>
      <c r="J238" s="26"/>
      <c r="K238" s="7"/>
    </row>
    <row r="239" spans="2:11" x14ac:dyDescent="0.45">
      <c r="B239" s="34"/>
      <c r="C239" s="34"/>
      <c r="D239" s="34"/>
      <c r="E239" s="34"/>
      <c r="F239" s="49"/>
      <c r="G239" s="34"/>
      <c r="H239" s="49"/>
      <c r="I239" s="50"/>
      <c r="J239" s="50"/>
      <c r="K239" s="34"/>
    </row>
    <row r="240" spans="2:11" x14ac:dyDescent="0.45">
      <c r="B240" s="7"/>
      <c r="C240" s="7"/>
      <c r="D240" s="7"/>
      <c r="E240" s="7"/>
      <c r="F240" s="25"/>
      <c r="G240" s="7"/>
      <c r="H240" s="25"/>
      <c r="I240" s="26"/>
      <c r="J240" s="26"/>
      <c r="K240" s="7"/>
    </row>
    <row r="241" spans="2:11" x14ac:dyDescent="0.45">
      <c r="B241" s="34"/>
      <c r="C241" s="34"/>
      <c r="D241" s="34"/>
      <c r="E241" s="34"/>
      <c r="F241" s="49"/>
      <c r="G241" s="34"/>
      <c r="H241" s="49"/>
      <c r="I241" s="50"/>
      <c r="J241" s="50"/>
      <c r="K241" s="34"/>
    </row>
    <row r="242" spans="2:11" x14ac:dyDescent="0.45">
      <c r="B242" s="7"/>
      <c r="C242" s="7"/>
      <c r="D242" s="7"/>
      <c r="E242" s="7"/>
      <c r="F242" s="25"/>
      <c r="G242" s="7"/>
      <c r="H242" s="25"/>
      <c r="I242" s="26"/>
      <c r="J242" s="26"/>
      <c r="K242" s="7"/>
    </row>
    <row r="243" spans="2:11" x14ac:dyDescent="0.45">
      <c r="B243" s="34"/>
      <c r="C243" s="34"/>
      <c r="D243" s="34"/>
      <c r="E243" s="34"/>
      <c r="F243" s="49"/>
      <c r="G243" s="34"/>
      <c r="H243" s="49"/>
      <c r="I243" s="50"/>
      <c r="J243" s="50"/>
      <c r="K243" s="34"/>
    </row>
    <row r="244" spans="2:11" x14ac:dyDescent="0.45">
      <c r="B244" s="7"/>
      <c r="C244" s="7"/>
      <c r="D244" s="7"/>
      <c r="E244" s="7"/>
      <c r="F244" s="25"/>
      <c r="G244" s="7"/>
      <c r="H244" s="25"/>
      <c r="I244" s="26"/>
      <c r="J244" s="26"/>
      <c r="K244" s="7"/>
    </row>
    <row r="245" spans="2:11" x14ac:dyDescent="0.45">
      <c r="B245" s="34"/>
      <c r="C245" s="34"/>
      <c r="D245" s="34"/>
      <c r="E245" s="34"/>
      <c r="F245" s="49"/>
      <c r="G245" s="34"/>
      <c r="H245" s="49"/>
      <c r="I245" s="50"/>
      <c r="J245" s="50"/>
      <c r="K245" s="34"/>
    </row>
    <row r="246" spans="2:11" x14ac:dyDescent="0.45">
      <c r="B246" s="7"/>
      <c r="C246" s="7"/>
      <c r="D246" s="7"/>
      <c r="E246" s="7"/>
      <c r="F246" s="25"/>
      <c r="G246" s="7"/>
      <c r="H246" s="25"/>
      <c r="I246" s="26"/>
      <c r="J246" s="26"/>
      <c r="K246" s="7"/>
    </row>
    <row r="247" spans="2:11" x14ac:dyDescent="0.45">
      <c r="B247" s="34"/>
      <c r="C247" s="34"/>
      <c r="D247" s="34"/>
      <c r="E247" s="34"/>
      <c r="F247" s="49"/>
      <c r="G247" s="34"/>
      <c r="H247" s="49"/>
      <c r="I247" s="50"/>
      <c r="J247" s="50"/>
      <c r="K247" s="34"/>
    </row>
    <row r="248" spans="2:11" x14ac:dyDescent="0.45">
      <c r="B248" s="7"/>
      <c r="C248" s="7"/>
      <c r="D248" s="7"/>
      <c r="E248" s="7"/>
      <c r="F248" s="25"/>
      <c r="G248" s="7"/>
      <c r="H248" s="25"/>
      <c r="I248" s="26"/>
      <c r="J248" s="26"/>
      <c r="K248" s="7"/>
    </row>
    <row r="249" spans="2:11" x14ac:dyDescent="0.45">
      <c r="B249" s="34"/>
      <c r="C249" s="34"/>
      <c r="D249" s="34"/>
      <c r="E249" s="34"/>
      <c r="F249" s="49"/>
      <c r="G249" s="34"/>
      <c r="H249" s="49"/>
      <c r="I249" s="50"/>
      <c r="J249" s="50"/>
      <c r="K249" s="34"/>
    </row>
    <row r="250" spans="2:11" x14ac:dyDescent="0.45">
      <c r="B250" s="7"/>
      <c r="C250" s="7"/>
      <c r="D250" s="7"/>
      <c r="E250" s="7"/>
      <c r="F250" s="25"/>
      <c r="G250" s="7"/>
      <c r="H250" s="25"/>
      <c r="I250" s="26"/>
      <c r="J250" s="26"/>
      <c r="K250" s="7"/>
    </row>
    <row r="251" spans="2:11" x14ac:dyDescent="0.45">
      <c r="B251" s="34"/>
      <c r="C251" s="34"/>
      <c r="D251" s="34"/>
      <c r="E251" s="34"/>
      <c r="F251" s="49"/>
      <c r="G251" s="34"/>
      <c r="H251" s="49"/>
      <c r="I251" s="50"/>
      <c r="J251" s="50"/>
      <c r="K251" s="34"/>
    </row>
    <row r="252" spans="2:11" x14ac:dyDescent="0.45">
      <c r="B252" s="7"/>
      <c r="C252" s="7"/>
      <c r="D252" s="7"/>
      <c r="E252" s="7"/>
      <c r="F252" s="25"/>
      <c r="G252" s="7"/>
      <c r="H252" s="25"/>
      <c r="I252" s="26"/>
      <c r="J252" s="26"/>
      <c r="K252" s="7"/>
    </row>
    <row r="253" spans="2:11" x14ac:dyDescent="0.45">
      <c r="B253" s="34"/>
      <c r="C253" s="34"/>
      <c r="D253" s="34"/>
      <c r="E253" s="34"/>
      <c r="F253" s="49"/>
      <c r="G253" s="34"/>
      <c r="H253" s="49"/>
      <c r="I253" s="50"/>
      <c r="J253" s="50"/>
      <c r="K253" s="34"/>
    </row>
    <row r="254" spans="2:11" x14ac:dyDescent="0.45">
      <c r="B254" s="7"/>
      <c r="C254" s="7"/>
      <c r="D254" s="7"/>
      <c r="E254" s="7"/>
      <c r="F254" s="25"/>
      <c r="G254" s="7"/>
      <c r="H254" s="25"/>
      <c r="I254" s="26"/>
      <c r="J254" s="26"/>
      <c r="K254" s="7"/>
    </row>
    <row r="255" spans="2:11" x14ac:dyDescent="0.45">
      <c r="B255" s="34"/>
      <c r="C255" s="34"/>
      <c r="D255" s="34"/>
      <c r="E255" s="34"/>
      <c r="F255" s="49"/>
      <c r="G255" s="34"/>
      <c r="H255" s="49"/>
      <c r="I255" s="50"/>
      <c r="J255" s="50"/>
      <c r="K255" s="34"/>
    </row>
    <row r="256" spans="2:11" x14ac:dyDescent="0.45">
      <c r="B256" s="7"/>
      <c r="C256" s="7"/>
      <c r="D256" s="7"/>
      <c r="E256" s="7"/>
      <c r="F256" s="25"/>
      <c r="G256" s="7"/>
      <c r="H256" s="25"/>
      <c r="I256" s="26"/>
      <c r="J256" s="26"/>
      <c r="K256" s="7"/>
    </row>
    <row r="257" spans="2:11" x14ac:dyDescent="0.45">
      <c r="B257" s="34"/>
      <c r="C257" s="34"/>
      <c r="D257" s="34"/>
      <c r="E257" s="34"/>
      <c r="F257" s="49"/>
      <c r="G257" s="34"/>
      <c r="H257" s="49"/>
      <c r="I257" s="50"/>
      <c r="J257" s="50"/>
      <c r="K257" s="34"/>
    </row>
    <row r="258" spans="2:11" x14ac:dyDescent="0.45">
      <c r="B258" s="7"/>
      <c r="C258" s="7"/>
      <c r="D258" s="7"/>
      <c r="E258" s="7"/>
      <c r="F258" s="25"/>
      <c r="G258" s="7"/>
      <c r="H258" s="25"/>
      <c r="I258" s="26"/>
      <c r="J258" s="26"/>
      <c r="K258" s="7"/>
    </row>
    <row r="259" spans="2:11" x14ac:dyDescent="0.45">
      <c r="B259" s="34"/>
      <c r="C259" s="34"/>
      <c r="D259" s="34"/>
      <c r="E259" s="34"/>
      <c r="F259" s="49"/>
      <c r="G259" s="34"/>
      <c r="H259" s="49"/>
      <c r="I259" s="50"/>
      <c r="J259" s="50"/>
      <c r="K259" s="34"/>
    </row>
    <row r="260" spans="2:11" x14ac:dyDescent="0.45">
      <c r="B260" s="7"/>
      <c r="C260" s="7"/>
      <c r="D260" s="7"/>
      <c r="E260" s="7"/>
      <c r="F260" s="25"/>
      <c r="G260" s="7"/>
      <c r="H260" s="25"/>
      <c r="I260" s="26"/>
      <c r="J260" s="26"/>
      <c r="K260" s="7"/>
    </row>
    <row r="261" spans="2:11" x14ac:dyDescent="0.45">
      <c r="B261" s="34"/>
      <c r="C261" s="34"/>
      <c r="D261" s="34"/>
      <c r="E261" s="34"/>
      <c r="F261" s="49"/>
      <c r="G261" s="34"/>
      <c r="H261" s="49"/>
      <c r="I261" s="50"/>
      <c r="J261" s="50"/>
      <c r="K261" s="34"/>
    </row>
    <row r="262" spans="2:11" x14ac:dyDescent="0.45">
      <c r="B262" s="7"/>
      <c r="C262" s="7"/>
      <c r="D262" s="7"/>
      <c r="E262" s="7"/>
      <c r="F262" s="25"/>
      <c r="G262" s="7"/>
      <c r="H262" s="25"/>
      <c r="I262" s="26"/>
      <c r="J262" s="26"/>
      <c r="K262" s="7"/>
    </row>
    <row r="263" spans="2:11" x14ac:dyDescent="0.45">
      <c r="B263" s="34"/>
      <c r="C263" s="34"/>
      <c r="D263" s="34"/>
      <c r="E263" s="34"/>
      <c r="F263" s="49"/>
      <c r="G263" s="34"/>
      <c r="H263" s="49"/>
      <c r="I263" s="50"/>
      <c r="J263" s="50"/>
      <c r="K263" s="34"/>
    </row>
    <row r="264" spans="2:11" x14ac:dyDescent="0.45">
      <c r="B264" s="7"/>
      <c r="C264" s="7"/>
      <c r="D264" s="7"/>
      <c r="E264" s="7"/>
      <c r="F264" s="25"/>
      <c r="G264" s="7"/>
      <c r="H264" s="25"/>
      <c r="I264" s="26"/>
      <c r="J264" s="26"/>
      <c r="K264" s="7"/>
    </row>
    <row r="265" spans="2:11" x14ac:dyDescent="0.45">
      <c r="B265" s="34"/>
      <c r="C265" s="34"/>
      <c r="D265" s="34"/>
      <c r="E265" s="34"/>
      <c r="F265" s="49"/>
      <c r="G265" s="34"/>
      <c r="H265" s="49"/>
      <c r="I265" s="50"/>
      <c r="J265" s="50"/>
      <c r="K265" s="34"/>
    </row>
    <row r="266" spans="2:11" x14ac:dyDescent="0.45">
      <c r="B266" s="7"/>
      <c r="C266" s="7"/>
      <c r="D266" s="7"/>
      <c r="E266" s="7"/>
      <c r="F266" s="25"/>
      <c r="G266" s="7"/>
      <c r="H266" s="25"/>
      <c r="I266" s="26"/>
      <c r="J266" s="26"/>
      <c r="K266" s="7"/>
    </row>
    <row r="267" spans="2:11" x14ac:dyDescent="0.45">
      <c r="B267" s="34"/>
      <c r="C267" s="34"/>
      <c r="D267" s="34"/>
      <c r="E267" s="34"/>
      <c r="F267" s="49"/>
      <c r="G267" s="34"/>
      <c r="H267" s="49"/>
      <c r="I267" s="50"/>
      <c r="J267" s="50"/>
      <c r="K267" s="34"/>
    </row>
    <row r="268" spans="2:11" x14ac:dyDescent="0.45">
      <c r="B268" s="7"/>
      <c r="C268" s="7"/>
      <c r="D268" s="7"/>
      <c r="E268" s="7"/>
      <c r="F268" s="25"/>
      <c r="G268" s="7"/>
      <c r="H268" s="25"/>
      <c r="I268" s="26"/>
      <c r="J268" s="26"/>
      <c r="K268" s="7"/>
    </row>
    <row r="269" spans="2:11" x14ac:dyDescent="0.45">
      <c r="B269" s="34"/>
      <c r="C269" s="34"/>
      <c r="D269" s="34"/>
      <c r="E269" s="34"/>
      <c r="F269" s="49"/>
      <c r="G269" s="34"/>
      <c r="H269" s="49"/>
      <c r="I269" s="50"/>
      <c r="J269" s="50"/>
      <c r="K269" s="34"/>
    </row>
    <row r="270" spans="2:11" x14ac:dyDescent="0.45">
      <c r="B270" s="7"/>
      <c r="C270" s="7"/>
      <c r="D270" s="7"/>
      <c r="E270" s="7"/>
      <c r="F270" s="25"/>
      <c r="G270" s="7"/>
      <c r="H270" s="25"/>
      <c r="I270" s="26"/>
      <c r="J270" s="26"/>
      <c r="K270" s="7"/>
    </row>
    <row r="271" spans="2:11" x14ac:dyDescent="0.45">
      <c r="B271" s="34"/>
      <c r="C271" s="34"/>
      <c r="D271" s="34"/>
      <c r="E271" s="34"/>
      <c r="F271" s="49"/>
      <c r="G271" s="34"/>
      <c r="H271" s="49"/>
      <c r="I271" s="50"/>
      <c r="J271" s="50"/>
      <c r="K271" s="34"/>
    </row>
    <row r="272" spans="2:11" x14ac:dyDescent="0.45">
      <c r="B272" s="7"/>
      <c r="C272" s="7"/>
      <c r="D272" s="7"/>
      <c r="E272" s="7"/>
      <c r="F272" s="25"/>
      <c r="G272" s="7"/>
      <c r="H272" s="25"/>
      <c r="I272" s="26"/>
      <c r="J272" s="26"/>
      <c r="K272" s="7"/>
    </row>
    <row r="273" spans="2:11" x14ac:dyDescent="0.45">
      <c r="B273" s="34"/>
      <c r="C273" s="34"/>
      <c r="D273" s="34"/>
      <c r="E273" s="34"/>
      <c r="F273" s="49"/>
      <c r="G273" s="34"/>
      <c r="H273" s="49"/>
      <c r="I273" s="50"/>
      <c r="J273" s="50"/>
      <c r="K273" s="34"/>
    </row>
    <row r="274" spans="2:11" x14ac:dyDescent="0.45">
      <c r="B274" s="7"/>
      <c r="C274" s="7"/>
      <c r="D274" s="7"/>
      <c r="E274" s="7"/>
      <c r="F274" s="25"/>
      <c r="G274" s="7"/>
      <c r="H274" s="25"/>
      <c r="I274" s="26"/>
      <c r="J274" s="26"/>
      <c r="K274" s="7"/>
    </row>
    <row r="275" spans="2:11" x14ac:dyDescent="0.45">
      <c r="B275" s="34"/>
      <c r="C275" s="34"/>
      <c r="D275" s="34"/>
      <c r="E275" s="34"/>
      <c r="F275" s="49"/>
      <c r="G275" s="34"/>
      <c r="H275" s="49"/>
      <c r="I275" s="50"/>
      <c r="J275" s="50"/>
      <c r="K275" s="34"/>
    </row>
    <row r="276" spans="2:11" x14ac:dyDescent="0.45">
      <c r="B276" s="7"/>
      <c r="C276" s="7"/>
      <c r="D276" s="7"/>
      <c r="E276" s="7"/>
      <c r="F276" s="25"/>
      <c r="G276" s="7"/>
      <c r="H276" s="25"/>
      <c r="I276" s="26"/>
      <c r="J276" s="26"/>
      <c r="K276" s="7"/>
    </row>
    <row r="277" spans="2:11" x14ac:dyDescent="0.45">
      <c r="B277" s="34"/>
      <c r="C277" s="34"/>
      <c r="D277" s="34"/>
      <c r="E277" s="34"/>
      <c r="F277" s="49"/>
      <c r="G277" s="34"/>
      <c r="H277" s="49"/>
      <c r="I277" s="50"/>
      <c r="J277" s="50"/>
      <c r="K277" s="34"/>
    </row>
    <row r="278" spans="2:11" x14ac:dyDescent="0.45">
      <c r="B278" s="7"/>
      <c r="C278" s="7"/>
      <c r="D278" s="7"/>
      <c r="E278" s="7"/>
      <c r="F278" s="25"/>
      <c r="G278" s="7"/>
      <c r="H278" s="25"/>
      <c r="I278" s="26"/>
      <c r="J278" s="26"/>
      <c r="K278" s="7"/>
    </row>
    <row r="279" spans="2:11" x14ac:dyDescent="0.45">
      <c r="B279" s="34"/>
      <c r="C279" s="34"/>
      <c r="D279" s="34"/>
      <c r="E279" s="34"/>
      <c r="F279" s="49"/>
      <c r="G279" s="34"/>
      <c r="H279" s="49"/>
      <c r="I279" s="50"/>
      <c r="J279" s="50"/>
      <c r="K279" s="34"/>
    </row>
    <row r="280" spans="2:11" x14ac:dyDescent="0.45">
      <c r="B280" s="7"/>
      <c r="C280" s="7"/>
      <c r="D280" s="7"/>
      <c r="E280" s="7"/>
      <c r="F280" s="25"/>
      <c r="G280" s="7"/>
      <c r="H280" s="25"/>
      <c r="I280" s="26"/>
      <c r="J280" s="26"/>
      <c r="K280" s="7"/>
    </row>
    <row r="281" spans="2:11" x14ac:dyDescent="0.45">
      <c r="B281" s="34"/>
      <c r="C281" s="34"/>
      <c r="D281" s="34"/>
      <c r="E281" s="34"/>
      <c r="F281" s="49"/>
      <c r="G281" s="34"/>
      <c r="H281" s="49"/>
      <c r="I281" s="50"/>
      <c r="J281" s="50"/>
      <c r="K281" s="34"/>
    </row>
    <row r="282" spans="2:11" x14ac:dyDescent="0.45">
      <c r="B282" s="7"/>
      <c r="C282" s="7"/>
      <c r="D282" s="7"/>
      <c r="E282" s="7"/>
      <c r="F282" s="25"/>
      <c r="G282" s="7"/>
      <c r="H282" s="25"/>
      <c r="I282" s="26"/>
      <c r="J282" s="26"/>
      <c r="K282" s="7"/>
    </row>
    <row r="283" spans="2:11" x14ac:dyDescent="0.45">
      <c r="B283" s="34"/>
      <c r="C283" s="34"/>
      <c r="D283" s="34"/>
      <c r="E283" s="34"/>
      <c r="F283" s="49"/>
      <c r="G283" s="34"/>
      <c r="H283" s="49"/>
      <c r="I283" s="50"/>
      <c r="J283" s="50"/>
      <c r="K283" s="34"/>
    </row>
    <row r="284" spans="2:11" x14ac:dyDescent="0.45">
      <c r="B284" s="7"/>
      <c r="C284" s="7"/>
      <c r="D284" s="7"/>
      <c r="E284" s="7"/>
      <c r="F284" s="25"/>
      <c r="G284" s="7"/>
      <c r="H284" s="25"/>
      <c r="I284" s="26"/>
      <c r="J284" s="26"/>
      <c r="K284" s="7"/>
    </row>
    <row r="285" spans="2:11" x14ac:dyDescent="0.45">
      <c r="B285" s="34"/>
      <c r="C285" s="34"/>
      <c r="D285" s="34"/>
      <c r="E285" s="34"/>
      <c r="F285" s="49"/>
      <c r="G285" s="34"/>
      <c r="H285" s="49"/>
      <c r="I285" s="50"/>
      <c r="J285" s="50"/>
      <c r="K285" s="34"/>
    </row>
    <row r="286" spans="2:11" x14ac:dyDescent="0.45">
      <c r="B286" s="7"/>
      <c r="C286" s="7"/>
      <c r="D286" s="7"/>
      <c r="E286" s="7"/>
      <c r="F286" s="25"/>
      <c r="G286" s="7"/>
      <c r="H286" s="25"/>
      <c r="I286" s="26"/>
      <c r="J286" s="26"/>
      <c r="K286" s="7"/>
    </row>
    <row r="287" spans="2:11" x14ac:dyDescent="0.45">
      <c r="B287" s="34"/>
      <c r="C287" s="34"/>
      <c r="D287" s="34"/>
      <c r="E287" s="34"/>
      <c r="F287" s="49"/>
      <c r="G287" s="34"/>
      <c r="H287" s="49"/>
      <c r="I287" s="50"/>
      <c r="J287" s="50"/>
      <c r="K287" s="34"/>
    </row>
    <row r="288" spans="2:11" x14ac:dyDescent="0.45">
      <c r="B288" s="7"/>
      <c r="C288" s="7"/>
      <c r="D288" s="7"/>
      <c r="E288" s="7"/>
      <c r="F288" s="25"/>
      <c r="G288" s="7"/>
      <c r="H288" s="25"/>
      <c r="I288" s="26"/>
      <c r="J288" s="26"/>
      <c r="K288" s="7"/>
    </row>
    <row r="289" spans="2:11" x14ac:dyDescent="0.45">
      <c r="B289" s="34"/>
      <c r="C289" s="34"/>
      <c r="D289" s="34"/>
      <c r="E289" s="34"/>
      <c r="F289" s="49"/>
      <c r="G289" s="34"/>
      <c r="H289" s="49"/>
      <c r="I289" s="50"/>
      <c r="J289" s="50"/>
      <c r="K289" s="34"/>
    </row>
    <row r="290" spans="2:11" x14ac:dyDescent="0.45">
      <c r="B290" s="7"/>
      <c r="C290" s="7"/>
      <c r="D290" s="7"/>
      <c r="E290" s="7"/>
      <c r="F290" s="25"/>
      <c r="G290" s="7"/>
      <c r="H290" s="25"/>
      <c r="I290" s="26"/>
      <c r="J290" s="26"/>
      <c r="K290" s="7"/>
    </row>
    <row r="291" spans="2:11" x14ac:dyDescent="0.45">
      <c r="B291" s="34"/>
      <c r="C291" s="34"/>
      <c r="D291" s="34"/>
      <c r="E291" s="34"/>
      <c r="F291" s="49"/>
      <c r="G291" s="34"/>
      <c r="H291" s="49"/>
      <c r="I291" s="50"/>
      <c r="J291" s="50"/>
      <c r="K291" s="34"/>
    </row>
    <row r="292" spans="2:11" x14ac:dyDescent="0.45">
      <c r="B292" s="7"/>
      <c r="C292" s="7"/>
      <c r="D292" s="7"/>
      <c r="E292" s="7"/>
      <c r="F292" s="25"/>
      <c r="G292" s="7"/>
      <c r="H292" s="25"/>
      <c r="I292" s="26"/>
      <c r="J292" s="26"/>
      <c r="K292" s="7"/>
    </row>
    <row r="293" spans="2:11" x14ac:dyDescent="0.45">
      <c r="B293" s="34"/>
      <c r="C293" s="34"/>
      <c r="D293" s="34"/>
      <c r="E293" s="34"/>
      <c r="F293" s="49"/>
      <c r="G293" s="34"/>
      <c r="H293" s="49"/>
      <c r="I293" s="50"/>
      <c r="J293" s="50"/>
      <c r="K293" s="34"/>
    </row>
    <row r="294" spans="2:11" x14ac:dyDescent="0.45">
      <c r="B294" s="7"/>
      <c r="C294" s="7"/>
      <c r="D294" s="7"/>
      <c r="E294" s="7"/>
      <c r="F294" s="25"/>
      <c r="G294" s="7"/>
      <c r="H294" s="25"/>
      <c r="I294" s="26"/>
      <c r="J294" s="26"/>
      <c r="K294" s="7"/>
    </row>
    <row r="295" spans="2:11" x14ac:dyDescent="0.45">
      <c r="B295" s="34"/>
      <c r="C295" s="34"/>
      <c r="D295" s="34"/>
      <c r="E295" s="34"/>
      <c r="F295" s="49"/>
      <c r="G295" s="34"/>
      <c r="H295" s="49"/>
      <c r="I295" s="50"/>
      <c r="J295" s="50"/>
      <c r="K295" s="34"/>
    </row>
    <row r="296" spans="2:11" x14ac:dyDescent="0.45">
      <c r="B296" s="7"/>
      <c r="C296" s="7"/>
      <c r="D296" s="7"/>
      <c r="E296" s="7"/>
      <c r="F296" s="25"/>
      <c r="G296" s="7"/>
      <c r="H296" s="25"/>
      <c r="I296" s="26"/>
      <c r="J296" s="26"/>
      <c r="K296" s="7"/>
    </row>
    <row r="297" spans="2:11" x14ac:dyDescent="0.45">
      <c r="B297" s="34"/>
      <c r="C297" s="34"/>
      <c r="D297" s="34"/>
      <c r="E297" s="34"/>
      <c r="F297" s="49"/>
      <c r="G297" s="34"/>
      <c r="H297" s="49"/>
      <c r="I297" s="50"/>
      <c r="J297" s="50"/>
      <c r="K297" s="34"/>
    </row>
    <row r="298" spans="2:11" x14ac:dyDescent="0.45">
      <c r="B298" s="7"/>
      <c r="C298" s="7"/>
      <c r="D298" s="7"/>
      <c r="E298" s="7"/>
      <c r="F298" s="25"/>
      <c r="G298" s="7"/>
      <c r="H298" s="25"/>
      <c r="I298" s="26"/>
      <c r="J298" s="26"/>
      <c r="K298" s="7"/>
    </row>
    <row r="299" spans="2:11" x14ac:dyDescent="0.45">
      <c r="B299" s="34"/>
      <c r="C299" s="34"/>
      <c r="D299" s="34"/>
      <c r="E299" s="34"/>
      <c r="F299" s="49"/>
      <c r="G299" s="34"/>
      <c r="H299" s="49"/>
      <c r="I299" s="50"/>
      <c r="J299" s="50"/>
      <c r="K299" s="34"/>
    </row>
    <row r="300" spans="2:11" x14ac:dyDescent="0.45">
      <c r="B300" s="7"/>
      <c r="C300" s="7"/>
      <c r="D300" s="7"/>
      <c r="E300" s="7"/>
      <c r="F300" s="25"/>
      <c r="G300" s="7"/>
      <c r="H300" s="25"/>
      <c r="I300" s="26"/>
      <c r="J300" s="26"/>
      <c r="K300" s="7"/>
    </row>
    <row r="301" spans="2:11" x14ac:dyDescent="0.45">
      <c r="B301" s="34"/>
      <c r="C301" s="34"/>
      <c r="D301" s="34"/>
      <c r="E301" s="34"/>
      <c r="F301" s="49"/>
      <c r="G301" s="34"/>
      <c r="H301" s="49"/>
      <c r="I301" s="50"/>
      <c r="J301" s="50"/>
      <c r="K301" s="34"/>
    </row>
    <row r="302" spans="2:11" x14ac:dyDescent="0.45">
      <c r="B302" s="7"/>
      <c r="C302" s="7"/>
      <c r="D302" s="7"/>
      <c r="E302" s="7"/>
      <c r="F302" s="25"/>
      <c r="G302" s="7"/>
      <c r="H302" s="25"/>
      <c r="I302" s="26"/>
      <c r="J302" s="26"/>
      <c r="K302" s="7"/>
    </row>
    <row r="303" spans="2:11" x14ac:dyDescent="0.45">
      <c r="B303" s="34"/>
      <c r="C303" s="34"/>
      <c r="D303" s="34"/>
      <c r="E303" s="34"/>
      <c r="F303" s="49"/>
      <c r="G303" s="34"/>
      <c r="H303" s="49"/>
      <c r="I303" s="50"/>
      <c r="J303" s="50"/>
      <c r="K303" s="34"/>
    </row>
    <row r="304" spans="2:11" x14ac:dyDescent="0.45">
      <c r="B304" s="7"/>
      <c r="C304" s="7"/>
      <c r="D304" s="7"/>
      <c r="E304" s="7"/>
      <c r="F304" s="25"/>
      <c r="G304" s="7"/>
      <c r="H304" s="25"/>
      <c r="I304" s="26"/>
      <c r="J304" s="26"/>
      <c r="K304" s="7"/>
    </row>
    <row r="305" spans="2:11" x14ac:dyDescent="0.45">
      <c r="B305" s="34"/>
      <c r="C305" s="34"/>
      <c r="D305" s="34"/>
      <c r="E305" s="34"/>
      <c r="F305" s="49"/>
      <c r="G305" s="34"/>
      <c r="H305" s="49"/>
      <c r="I305" s="50"/>
      <c r="J305" s="50"/>
      <c r="K305" s="34"/>
    </row>
    <row r="306" spans="2:11" x14ac:dyDescent="0.45">
      <c r="B306" s="7"/>
      <c r="C306" s="7"/>
      <c r="D306" s="7"/>
      <c r="E306" s="7"/>
      <c r="F306" s="25"/>
      <c r="G306" s="7"/>
      <c r="H306" s="25"/>
      <c r="I306" s="26"/>
      <c r="J306" s="26"/>
      <c r="K306" s="7"/>
    </row>
    <row r="307" spans="2:11" x14ac:dyDescent="0.45">
      <c r="B307" s="34"/>
      <c r="C307" s="34"/>
      <c r="D307" s="34"/>
      <c r="E307" s="34"/>
      <c r="F307" s="49"/>
      <c r="G307" s="34"/>
      <c r="H307" s="49"/>
      <c r="I307" s="50"/>
      <c r="J307" s="50"/>
      <c r="K307" s="34"/>
    </row>
    <row r="308" spans="2:11" x14ac:dyDescent="0.45">
      <c r="B308" s="7"/>
      <c r="C308" s="7"/>
      <c r="D308" s="7"/>
      <c r="E308" s="7"/>
      <c r="F308" s="25"/>
      <c r="G308" s="7"/>
      <c r="H308" s="25"/>
      <c r="I308" s="26"/>
      <c r="J308" s="26"/>
      <c r="K308" s="7"/>
    </row>
    <row r="309" spans="2:11" x14ac:dyDescent="0.45">
      <c r="B309" s="34"/>
      <c r="C309" s="34"/>
      <c r="D309" s="34"/>
      <c r="E309" s="34"/>
      <c r="F309" s="49"/>
      <c r="G309" s="34"/>
      <c r="H309" s="49"/>
      <c r="I309" s="50"/>
      <c r="J309" s="50"/>
      <c r="K309" s="34"/>
    </row>
    <row r="310" spans="2:11" x14ac:dyDescent="0.45">
      <c r="B310" s="7"/>
      <c r="C310" s="7"/>
      <c r="D310" s="7"/>
      <c r="E310" s="7"/>
      <c r="F310" s="25"/>
      <c r="G310" s="7"/>
      <c r="H310" s="25"/>
      <c r="I310" s="26"/>
      <c r="J310" s="26"/>
      <c r="K310" s="7"/>
    </row>
    <row r="311" spans="2:11" x14ac:dyDescent="0.45">
      <c r="B311" s="34"/>
      <c r="C311" s="34"/>
      <c r="D311" s="34"/>
      <c r="E311" s="34"/>
      <c r="F311" s="49"/>
      <c r="G311" s="34"/>
      <c r="H311" s="49"/>
      <c r="I311" s="50"/>
      <c r="J311" s="50"/>
      <c r="K311" s="34"/>
    </row>
    <row r="312" spans="2:11" x14ac:dyDescent="0.45">
      <c r="B312" s="7"/>
      <c r="C312" s="7"/>
      <c r="D312" s="7"/>
      <c r="E312" s="7"/>
      <c r="F312" s="25"/>
      <c r="G312" s="7"/>
      <c r="H312" s="25"/>
      <c r="I312" s="26"/>
      <c r="J312" s="26"/>
      <c r="K312" s="7"/>
    </row>
    <row r="313" spans="2:11" x14ac:dyDescent="0.45">
      <c r="B313" s="34"/>
      <c r="C313" s="34"/>
      <c r="D313" s="34"/>
      <c r="E313" s="34"/>
      <c r="F313" s="49"/>
      <c r="G313" s="34"/>
      <c r="H313" s="49"/>
      <c r="I313" s="50"/>
      <c r="J313" s="50"/>
      <c r="K313" s="34"/>
    </row>
    <row r="314" spans="2:11" x14ac:dyDescent="0.45">
      <c r="B314" s="7"/>
      <c r="C314" s="7"/>
      <c r="D314" s="7"/>
      <c r="E314" s="7"/>
      <c r="F314" s="25"/>
      <c r="G314" s="7"/>
      <c r="H314" s="25"/>
      <c r="I314" s="26"/>
      <c r="J314" s="26"/>
      <c r="K314" s="7"/>
    </row>
    <row r="315" spans="2:11" x14ac:dyDescent="0.45">
      <c r="B315" s="34"/>
      <c r="C315" s="34"/>
      <c r="D315" s="34"/>
      <c r="E315" s="34"/>
      <c r="F315" s="49"/>
      <c r="G315" s="34"/>
      <c r="H315" s="49"/>
      <c r="I315" s="50"/>
      <c r="J315" s="50"/>
      <c r="K315" s="34"/>
    </row>
    <row r="316" spans="2:11" x14ac:dyDescent="0.45">
      <c r="B316" s="7"/>
      <c r="C316" s="7"/>
      <c r="D316" s="7"/>
      <c r="E316" s="7"/>
      <c r="F316" s="25"/>
      <c r="G316" s="7"/>
      <c r="H316" s="25"/>
      <c r="I316" s="26"/>
      <c r="J316" s="26"/>
      <c r="K316" s="7"/>
    </row>
    <row r="317" spans="2:11" x14ac:dyDescent="0.45">
      <c r="B317" s="34"/>
      <c r="C317" s="34"/>
      <c r="D317" s="34"/>
      <c r="E317" s="34"/>
      <c r="F317" s="49"/>
      <c r="G317" s="34"/>
      <c r="H317" s="49"/>
      <c r="I317" s="50"/>
      <c r="J317" s="50"/>
      <c r="K317" s="34"/>
    </row>
    <row r="318" spans="2:11" x14ac:dyDescent="0.45">
      <c r="B318" s="7"/>
      <c r="C318" s="7"/>
      <c r="D318" s="7"/>
      <c r="E318" s="7"/>
      <c r="F318" s="25"/>
      <c r="G318" s="7"/>
      <c r="H318" s="25"/>
      <c r="I318" s="26"/>
      <c r="J318" s="26"/>
      <c r="K318" s="7"/>
    </row>
    <row r="319" spans="2:11" x14ac:dyDescent="0.45">
      <c r="B319" s="34"/>
      <c r="C319" s="34"/>
      <c r="D319" s="34"/>
      <c r="E319" s="34"/>
      <c r="F319" s="49"/>
      <c r="G319" s="34"/>
      <c r="H319" s="49"/>
      <c r="I319" s="50"/>
      <c r="J319" s="50"/>
      <c r="K319" s="34"/>
    </row>
    <row r="320" spans="2:11" x14ac:dyDescent="0.45">
      <c r="B320" s="7"/>
      <c r="C320" s="7"/>
      <c r="D320" s="7"/>
      <c r="E320" s="7"/>
      <c r="F320" s="25"/>
      <c r="G320" s="7"/>
      <c r="H320" s="25"/>
      <c r="I320" s="26"/>
      <c r="J320" s="26"/>
      <c r="K320" s="7"/>
    </row>
    <row r="321" spans="2:11" x14ac:dyDescent="0.45">
      <c r="B321" s="34"/>
      <c r="C321" s="34"/>
      <c r="D321" s="34"/>
      <c r="E321" s="34"/>
      <c r="F321" s="49"/>
      <c r="G321" s="34"/>
      <c r="H321" s="49"/>
      <c r="I321" s="50"/>
      <c r="J321" s="50"/>
      <c r="K321" s="34"/>
    </row>
    <row r="322" spans="2:11" x14ac:dyDescent="0.45">
      <c r="B322" s="7"/>
      <c r="C322" s="7"/>
      <c r="D322" s="7"/>
      <c r="E322" s="7"/>
      <c r="F322" s="25"/>
      <c r="G322" s="7"/>
      <c r="H322" s="25"/>
      <c r="I322" s="26"/>
      <c r="J322" s="26"/>
      <c r="K322" s="7"/>
    </row>
    <row r="323" spans="2:11" x14ac:dyDescent="0.45">
      <c r="B323" s="34"/>
      <c r="C323" s="34"/>
      <c r="D323" s="34"/>
      <c r="E323" s="34"/>
      <c r="F323" s="49"/>
      <c r="G323" s="34"/>
      <c r="H323" s="49"/>
      <c r="I323" s="50"/>
      <c r="J323" s="50"/>
      <c r="K323" s="34"/>
    </row>
    <row r="324" spans="2:11" x14ac:dyDescent="0.45">
      <c r="B324" s="7"/>
      <c r="C324" s="7"/>
      <c r="D324" s="7"/>
      <c r="E324" s="7"/>
      <c r="F324" s="25"/>
      <c r="G324" s="7"/>
      <c r="H324" s="25"/>
      <c r="I324" s="26"/>
      <c r="J324" s="26"/>
      <c r="K324" s="7"/>
    </row>
    <row r="325" spans="2:11" x14ac:dyDescent="0.45">
      <c r="B325" s="34"/>
      <c r="C325" s="34"/>
      <c r="D325" s="34"/>
      <c r="E325" s="34"/>
      <c r="F325" s="49"/>
      <c r="G325" s="34"/>
      <c r="H325" s="49"/>
      <c r="I325" s="50"/>
      <c r="J325" s="50"/>
      <c r="K325" s="34"/>
    </row>
    <row r="326" spans="2:11" x14ac:dyDescent="0.45">
      <c r="B326" s="7"/>
      <c r="C326" s="7"/>
      <c r="D326" s="7"/>
      <c r="E326" s="7"/>
      <c r="F326" s="25"/>
      <c r="G326" s="7"/>
      <c r="H326" s="25"/>
      <c r="I326" s="26"/>
      <c r="J326" s="26"/>
      <c r="K326" s="7"/>
    </row>
    <row r="327" spans="2:11" x14ac:dyDescent="0.45">
      <c r="B327" s="34"/>
      <c r="C327" s="34"/>
      <c r="D327" s="34"/>
      <c r="E327" s="34"/>
      <c r="F327" s="49"/>
      <c r="G327" s="34"/>
      <c r="H327" s="49"/>
      <c r="I327" s="50"/>
      <c r="J327" s="50"/>
      <c r="K327" s="34"/>
    </row>
    <row r="328" spans="2:11" x14ac:dyDescent="0.45">
      <c r="B328" s="7"/>
      <c r="C328" s="7"/>
      <c r="D328" s="7"/>
      <c r="E328" s="7"/>
      <c r="F328" s="25"/>
      <c r="G328" s="7"/>
      <c r="H328" s="25"/>
      <c r="I328" s="26"/>
      <c r="J328" s="26"/>
      <c r="K328" s="7"/>
    </row>
    <row r="329" spans="2:11" x14ac:dyDescent="0.45">
      <c r="B329" s="34"/>
      <c r="C329" s="34"/>
      <c r="D329" s="34"/>
      <c r="E329" s="34"/>
      <c r="F329" s="49"/>
      <c r="G329" s="34"/>
      <c r="H329" s="49"/>
      <c r="I329" s="50"/>
      <c r="J329" s="50"/>
      <c r="K329" s="34"/>
    </row>
    <row r="330" spans="2:11" x14ac:dyDescent="0.45">
      <c r="B330" s="7"/>
      <c r="C330" s="7"/>
      <c r="D330" s="7"/>
      <c r="E330" s="7"/>
      <c r="F330" s="25"/>
      <c r="G330" s="7"/>
      <c r="H330" s="25"/>
      <c r="I330" s="26"/>
      <c r="J330" s="26"/>
      <c r="K330" s="7"/>
    </row>
    <row r="331" spans="2:11" x14ac:dyDescent="0.45">
      <c r="B331" s="34"/>
      <c r="C331" s="34"/>
      <c r="D331" s="34"/>
      <c r="E331" s="34"/>
      <c r="F331" s="49"/>
      <c r="G331" s="34"/>
      <c r="H331" s="49"/>
      <c r="I331" s="50"/>
      <c r="J331" s="50"/>
      <c r="K331" s="34"/>
    </row>
    <row r="332" spans="2:11" x14ac:dyDescent="0.45">
      <c r="B332" s="7"/>
      <c r="C332" s="7"/>
      <c r="D332" s="7"/>
      <c r="E332" s="7"/>
      <c r="F332" s="25"/>
      <c r="G332" s="7"/>
      <c r="H332" s="25"/>
      <c r="I332" s="26"/>
      <c r="J332" s="26"/>
      <c r="K332" s="7"/>
    </row>
    <row r="333" spans="2:11" x14ac:dyDescent="0.45">
      <c r="B333" s="34"/>
      <c r="C333" s="34"/>
      <c r="D333" s="34"/>
      <c r="E333" s="34"/>
      <c r="F333" s="49"/>
      <c r="G333" s="34"/>
      <c r="H333" s="49"/>
      <c r="I333" s="50"/>
      <c r="J333" s="50"/>
      <c r="K333" s="34"/>
    </row>
    <row r="334" spans="2:11" x14ac:dyDescent="0.45">
      <c r="B334" s="7"/>
      <c r="C334" s="7"/>
      <c r="D334" s="7"/>
      <c r="E334" s="7"/>
      <c r="F334" s="25"/>
      <c r="G334" s="7"/>
      <c r="H334" s="25"/>
      <c r="I334" s="26"/>
      <c r="J334" s="26"/>
      <c r="K334" s="7"/>
    </row>
    <row r="335" spans="2:11" x14ac:dyDescent="0.45">
      <c r="B335" s="34"/>
      <c r="C335" s="34"/>
      <c r="D335" s="34"/>
      <c r="E335" s="34"/>
      <c r="F335" s="49"/>
      <c r="G335" s="34"/>
      <c r="H335" s="49"/>
      <c r="I335" s="50"/>
      <c r="J335" s="50"/>
      <c r="K335" s="34"/>
    </row>
    <row r="336" spans="2:11" x14ac:dyDescent="0.45">
      <c r="B336" s="7"/>
      <c r="C336" s="7"/>
      <c r="D336" s="7"/>
      <c r="E336" s="7"/>
      <c r="F336" s="25"/>
      <c r="G336" s="7"/>
      <c r="H336" s="25"/>
      <c r="I336" s="26"/>
      <c r="J336" s="26"/>
      <c r="K336" s="7"/>
    </row>
    <row r="337" spans="2:11" x14ac:dyDescent="0.45">
      <c r="B337" s="34"/>
      <c r="C337" s="34"/>
      <c r="D337" s="34"/>
      <c r="E337" s="34"/>
      <c r="F337" s="49"/>
      <c r="G337" s="34"/>
      <c r="H337" s="49"/>
      <c r="I337" s="50"/>
      <c r="J337" s="50"/>
      <c r="K337" s="34"/>
    </row>
    <row r="338" spans="2:11" x14ac:dyDescent="0.45">
      <c r="B338" s="7"/>
      <c r="C338" s="7"/>
      <c r="D338" s="7"/>
      <c r="E338" s="7"/>
      <c r="F338" s="25"/>
      <c r="G338" s="7"/>
      <c r="H338" s="25"/>
      <c r="I338" s="26"/>
      <c r="J338" s="26"/>
      <c r="K338" s="7"/>
    </row>
    <row r="339" spans="2:11" x14ac:dyDescent="0.45">
      <c r="B339" s="34"/>
      <c r="C339" s="34"/>
      <c r="D339" s="34"/>
      <c r="E339" s="34"/>
      <c r="F339" s="49"/>
      <c r="G339" s="34"/>
      <c r="H339" s="49"/>
      <c r="I339" s="50"/>
      <c r="J339" s="50"/>
      <c r="K339" s="34"/>
    </row>
    <row r="340" spans="2:11" x14ac:dyDescent="0.45">
      <c r="B340" s="7"/>
      <c r="C340" s="7"/>
      <c r="D340" s="7"/>
      <c r="E340" s="7"/>
      <c r="F340" s="25"/>
      <c r="G340" s="7"/>
      <c r="H340" s="25"/>
      <c r="I340" s="26"/>
      <c r="J340" s="26"/>
      <c r="K340" s="7"/>
    </row>
    <row r="341" spans="2:11" x14ac:dyDescent="0.45">
      <c r="B341" s="34"/>
      <c r="C341" s="34"/>
      <c r="D341" s="34"/>
      <c r="E341" s="34"/>
      <c r="F341" s="49"/>
      <c r="G341" s="34"/>
      <c r="H341" s="49"/>
      <c r="I341" s="50"/>
      <c r="J341" s="50"/>
      <c r="K341" s="34"/>
    </row>
    <row r="342" spans="2:11" x14ac:dyDescent="0.45">
      <c r="B342" s="7"/>
      <c r="C342" s="7"/>
      <c r="D342" s="7"/>
      <c r="E342" s="7"/>
      <c r="F342" s="25"/>
      <c r="G342" s="7"/>
      <c r="H342" s="25"/>
      <c r="I342" s="26"/>
      <c r="J342" s="26"/>
      <c r="K342" s="7"/>
    </row>
    <row r="343" spans="2:11" x14ac:dyDescent="0.45">
      <c r="B343" s="34"/>
      <c r="C343" s="34"/>
      <c r="D343" s="34"/>
      <c r="E343" s="34"/>
      <c r="F343" s="49"/>
      <c r="G343" s="34"/>
      <c r="H343" s="49"/>
      <c r="I343" s="50"/>
      <c r="J343" s="50"/>
      <c r="K343" s="34"/>
    </row>
    <row r="344" spans="2:11" x14ac:dyDescent="0.45">
      <c r="B344" s="7"/>
      <c r="C344" s="7"/>
      <c r="D344" s="7"/>
      <c r="E344" s="7"/>
      <c r="F344" s="25"/>
      <c r="G344" s="7"/>
      <c r="H344" s="25"/>
      <c r="I344" s="26"/>
      <c r="J344" s="26"/>
      <c r="K344" s="7"/>
    </row>
    <row r="345" spans="2:11" x14ac:dyDescent="0.45">
      <c r="B345" s="34"/>
      <c r="C345" s="34"/>
      <c r="D345" s="34"/>
      <c r="E345" s="34"/>
      <c r="F345" s="49"/>
      <c r="G345" s="34"/>
      <c r="H345" s="49"/>
      <c r="I345" s="50"/>
      <c r="J345" s="50"/>
      <c r="K345" s="34"/>
    </row>
    <row r="346" spans="2:11" x14ac:dyDescent="0.45">
      <c r="B346" s="7"/>
      <c r="C346" s="7"/>
      <c r="D346" s="7"/>
      <c r="E346" s="7"/>
      <c r="F346" s="25"/>
      <c r="G346" s="7"/>
      <c r="H346" s="25"/>
      <c r="I346" s="26"/>
      <c r="J346" s="26"/>
      <c r="K346" s="7"/>
    </row>
    <row r="347" spans="2:11" x14ac:dyDescent="0.45">
      <c r="B347" s="34"/>
      <c r="C347" s="34"/>
      <c r="D347" s="34"/>
      <c r="E347" s="34"/>
      <c r="F347" s="49"/>
      <c r="G347" s="34"/>
      <c r="H347" s="49"/>
      <c r="I347" s="50"/>
      <c r="J347" s="50"/>
      <c r="K347" s="34"/>
    </row>
    <row r="348" spans="2:11" x14ac:dyDescent="0.45">
      <c r="B348" s="7"/>
      <c r="C348" s="7"/>
      <c r="D348" s="7"/>
      <c r="E348" s="7"/>
      <c r="F348" s="25"/>
      <c r="G348" s="7"/>
      <c r="H348" s="25"/>
      <c r="I348" s="26"/>
      <c r="J348" s="26"/>
      <c r="K348" s="7"/>
    </row>
    <row r="349" spans="2:11" x14ac:dyDescent="0.45">
      <c r="B349" s="34"/>
      <c r="C349" s="34"/>
      <c r="D349" s="34"/>
      <c r="E349" s="34"/>
      <c r="F349" s="49"/>
      <c r="G349" s="34"/>
      <c r="H349" s="49"/>
      <c r="I349" s="50"/>
      <c r="J349" s="50"/>
      <c r="K349" s="34"/>
    </row>
    <row r="350" spans="2:11" x14ac:dyDescent="0.45">
      <c r="B350" s="7"/>
      <c r="C350" s="7"/>
      <c r="D350" s="7"/>
      <c r="E350" s="7"/>
      <c r="F350" s="25"/>
      <c r="G350" s="7"/>
      <c r="H350" s="25"/>
      <c r="I350" s="26"/>
      <c r="J350" s="26"/>
      <c r="K350" s="7"/>
    </row>
    <row r="351" spans="2:11" x14ac:dyDescent="0.45">
      <c r="B351" s="34"/>
      <c r="C351" s="34"/>
      <c r="D351" s="34"/>
      <c r="E351" s="34"/>
      <c r="F351" s="49"/>
      <c r="G351" s="34"/>
      <c r="H351" s="49"/>
      <c r="I351" s="50"/>
      <c r="J351" s="50"/>
      <c r="K351" s="34"/>
    </row>
    <row r="352" spans="2:11" x14ac:dyDescent="0.45">
      <c r="B352" s="7"/>
      <c r="C352" s="7"/>
      <c r="D352" s="7"/>
      <c r="E352" s="7"/>
      <c r="F352" s="25"/>
      <c r="G352" s="7"/>
      <c r="H352" s="25"/>
      <c r="I352" s="26"/>
      <c r="J352" s="26"/>
      <c r="K352" s="7"/>
    </row>
    <row r="353" spans="2:11" x14ac:dyDescent="0.45">
      <c r="B353" s="34"/>
      <c r="C353" s="34"/>
      <c r="D353" s="34"/>
      <c r="E353" s="34"/>
      <c r="F353" s="49"/>
      <c r="G353" s="34"/>
      <c r="H353" s="49"/>
      <c r="I353" s="50"/>
      <c r="J353" s="50"/>
      <c r="K353" s="34"/>
    </row>
    <row r="354" spans="2:11" x14ac:dyDescent="0.45">
      <c r="B354" s="7"/>
      <c r="C354" s="7"/>
      <c r="D354" s="7"/>
      <c r="E354" s="7"/>
      <c r="F354" s="25"/>
      <c r="G354" s="7"/>
      <c r="H354" s="25"/>
      <c r="I354" s="26"/>
      <c r="J354" s="26"/>
      <c r="K354" s="7"/>
    </row>
    <row r="355" spans="2:11" x14ac:dyDescent="0.45">
      <c r="B355" s="34"/>
      <c r="C355" s="34"/>
      <c r="D355" s="34"/>
      <c r="E355" s="34"/>
      <c r="F355" s="49"/>
      <c r="G355" s="34"/>
      <c r="H355" s="49"/>
      <c r="I355" s="50"/>
      <c r="J355" s="50"/>
      <c r="K355" s="34"/>
    </row>
    <row r="356" spans="2:11" x14ac:dyDescent="0.45">
      <c r="B356" s="7"/>
      <c r="C356" s="7"/>
      <c r="D356" s="7"/>
      <c r="E356" s="7"/>
      <c r="F356" s="25"/>
      <c r="G356" s="7"/>
      <c r="H356" s="25"/>
      <c r="I356" s="26"/>
      <c r="J356" s="26"/>
      <c r="K356" s="7"/>
    </row>
    <row r="357" spans="2:11" x14ac:dyDescent="0.45">
      <c r="B357" s="34"/>
      <c r="C357" s="34"/>
      <c r="D357" s="34"/>
      <c r="E357" s="34"/>
      <c r="F357" s="49"/>
      <c r="G357" s="34"/>
      <c r="H357" s="49"/>
      <c r="I357" s="50"/>
      <c r="J357" s="50"/>
      <c r="K357" s="34"/>
    </row>
    <row r="358" spans="2:11" x14ac:dyDescent="0.45">
      <c r="B358" s="7"/>
      <c r="C358" s="7"/>
      <c r="D358" s="7"/>
      <c r="E358" s="7"/>
      <c r="F358" s="25"/>
      <c r="G358" s="7"/>
      <c r="H358" s="25"/>
      <c r="I358" s="26"/>
      <c r="J358" s="26"/>
      <c r="K358" s="7"/>
    </row>
    <row r="359" spans="2:11" x14ac:dyDescent="0.45">
      <c r="B359" s="34"/>
      <c r="C359" s="34"/>
      <c r="D359" s="34"/>
      <c r="E359" s="34"/>
      <c r="F359" s="49"/>
      <c r="G359" s="34"/>
      <c r="H359" s="49"/>
      <c r="I359" s="50"/>
      <c r="J359" s="50"/>
      <c r="K359" s="34"/>
    </row>
    <row r="360" spans="2:11" x14ac:dyDescent="0.45">
      <c r="B360" s="7"/>
      <c r="C360" s="7"/>
      <c r="D360" s="7"/>
      <c r="E360" s="7"/>
      <c r="F360" s="25"/>
      <c r="G360" s="7"/>
      <c r="H360" s="25"/>
      <c r="I360" s="26"/>
      <c r="J360" s="26"/>
      <c r="K360" s="7"/>
    </row>
    <row r="361" spans="2:11" x14ac:dyDescent="0.45">
      <c r="B361" s="34"/>
      <c r="C361" s="34"/>
      <c r="D361" s="34"/>
      <c r="E361" s="34"/>
      <c r="F361" s="49"/>
      <c r="G361" s="34"/>
      <c r="H361" s="49"/>
      <c r="I361" s="50"/>
      <c r="J361" s="50"/>
      <c r="K361" s="34"/>
    </row>
    <row r="362" spans="2:11" x14ac:dyDescent="0.45">
      <c r="B362" s="7"/>
      <c r="C362" s="7"/>
      <c r="D362" s="7"/>
      <c r="E362" s="7"/>
      <c r="F362" s="25"/>
      <c r="G362" s="7"/>
      <c r="H362" s="25"/>
      <c r="I362" s="26"/>
      <c r="J362" s="26"/>
      <c r="K362" s="7"/>
    </row>
    <row r="363" spans="2:11" x14ac:dyDescent="0.45">
      <c r="B363" s="34"/>
      <c r="C363" s="34"/>
      <c r="D363" s="34"/>
      <c r="E363" s="34"/>
      <c r="F363" s="49"/>
      <c r="G363" s="34"/>
      <c r="H363" s="49"/>
      <c r="I363" s="50"/>
      <c r="J363" s="50"/>
      <c r="K363" s="34"/>
    </row>
    <row r="364" spans="2:11" x14ac:dyDescent="0.45">
      <c r="B364" s="7"/>
      <c r="C364" s="7"/>
      <c r="D364" s="7"/>
      <c r="E364" s="7"/>
      <c r="F364" s="25"/>
      <c r="G364" s="7"/>
      <c r="H364" s="25"/>
      <c r="I364" s="26"/>
      <c r="J364" s="26"/>
      <c r="K364" s="7"/>
    </row>
    <row r="365" spans="2:11" x14ac:dyDescent="0.45">
      <c r="B365" s="34"/>
      <c r="C365" s="34"/>
      <c r="D365" s="34"/>
      <c r="E365" s="34"/>
      <c r="F365" s="49"/>
      <c r="G365" s="34"/>
      <c r="H365" s="49"/>
      <c r="I365" s="50"/>
      <c r="J365" s="50"/>
      <c r="K365" s="34"/>
    </row>
    <row r="366" spans="2:11" x14ac:dyDescent="0.45">
      <c r="B366" s="7"/>
      <c r="C366" s="7"/>
      <c r="D366" s="7"/>
      <c r="E366" s="7"/>
      <c r="F366" s="25"/>
      <c r="G366" s="7"/>
      <c r="H366" s="25"/>
      <c r="I366" s="26"/>
      <c r="J366" s="26"/>
      <c r="K366" s="7"/>
    </row>
    <row r="367" spans="2:11" x14ac:dyDescent="0.45">
      <c r="B367" s="34"/>
      <c r="C367" s="34"/>
      <c r="D367" s="34"/>
      <c r="E367" s="34"/>
      <c r="F367" s="49"/>
      <c r="G367" s="34"/>
      <c r="H367" s="49"/>
      <c r="I367" s="50"/>
      <c r="J367" s="50"/>
      <c r="K367" s="34"/>
    </row>
    <row r="368" spans="2:11" x14ac:dyDescent="0.45">
      <c r="B368" s="7"/>
      <c r="C368" s="7"/>
      <c r="D368" s="7"/>
      <c r="E368" s="7"/>
      <c r="F368" s="25"/>
      <c r="G368" s="7"/>
      <c r="H368" s="25"/>
      <c r="I368" s="26"/>
      <c r="J368" s="26"/>
      <c r="K368" s="7"/>
    </row>
    <row r="369" spans="2:11" x14ac:dyDescent="0.45">
      <c r="B369" s="34"/>
      <c r="C369" s="34"/>
      <c r="D369" s="34"/>
      <c r="E369" s="34"/>
      <c r="F369" s="49"/>
      <c r="G369" s="34"/>
      <c r="H369" s="49"/>
      <c r="I369" s="50"/>
      <c r="J369" s="50"/>
      <c r="K369" s="34"/>
    </row>
    <row r="370" spans="2:11" x14ac:dyDescent="0.45">
      <c r="B370" s="7"/>
      <c r="C370" s="7"/>
      <c r="D370" s="7"/>
      <c r="E370" s="7"/>
      <c r="F370" s="25"/>
      <c r="G370" s="7"/>
      <c r="H370" s="25"/>
      <c r="I370" s="26"/>
      <c r="J370" s="26"/>
      <c r="K370" s="7"/>
    </row>
    <row r="371" spans="2:11" x14ac:dyDescent="0.45">
      <c r="B371" s="34"/>
      <c r="C371" s="34"/>
      <c r="D371" s="34"/>
      <c r="E371" s="34"/>
      <c r="F371" s="49"/>
      <c r="G371" s="34"/>
      <c r="H371" s="49"/>
      <c r="I371" s="50"/>
      <c r="J371" s="50"/>
      <c r="K371" s="34"/>
    </row>
    <row r="372" spans="2:11" x14ac:dyDescent="0.45">
      <c r="B372" s="7"/>
      <c r="C372" s="7"/>
      <c r="D372" s="7"/>
      <c r="E372" s="7"/>
      <c r="F372" s="25"/>
      <c r="G372" s="7"/>
      <c r="H372" s="25"/>
      <c r="I372" s="26"/>
      <c r="J372" s="26"/>
      <c r="K372" s="7"/>
    </row>
    <row r="373" spans="2:11" x14ac:dyDescent="0.45">
      <c r="B373" s="34"/>
      <c r="C373" s="34"/>
      <c r="D373" s="34"/>
      <c r="E373" s="34"/>
      <c r="F373" s="49"/>
      <c r="G373" s="34"/>
      <c r="H373" s="49"/>
      <c r="I373" s="50"/>
      <c r="J373" s="50"/>
      <c r="K373" s="34"/>
    </row>
    <row r="374" spans="2:11" x14ac:dyDescent="0.45">
      <c r="B374" s="7"/>
      <c r="C374" s="7"/>
      <c r="D374" s="7"/>
      <c r="E374" s="7"/>
      <c r="F374" s="25"/>
      <c r="G374" s="7"/>
      <c r="H374" s="25"/>
      <c r="I374" s="26"/>
      <c r="J374" s="26"/>
      <c r="K374" s="7"/>
    </row>
    <row r="375" spans="2:11" x14ac:dyDescent="0.45">
      <c r="B375" s="34"/>
      <c r="C375" s="34"/>
      <c r="D375" s="34"/>
      <c r="E375" s="34"/>
      <c r="F375" s="49"/>
      <c r="G375" s="34"/>
      <c r="H375" s="49"/>
      <c r="I375" s="50"/>
      <c r="J375" s="50"/>
      <c r="K375" s="34"/>
    </row>
    <row r="376" spans="2:11" x14ac:dyDescent="0.45">
      <c r="B376" s="7"/>
      <c r="C376" s="7"/>
      <c r="D376" s="7"/>
      <c r="E376" s="7"/>
      <c r="F376" s="25"/>
      <c r="G376" s="7"/>
      <c r="H376" s="25"/>
      <c r="I376" s="26"/>
      <c r="J376" s="26"/>
      <c r="K376" s="7"/>
    </row>
    <row r="377" spans="2:11" x14ac:dyDescent="0.45">
      <c r="B377" s="34"/>
      <c r="C377" s="34"/>
      <c r="D377" s="34"/>
      <c r="E377" s="34"/>
      <c r="F377" s="49"/>
      <c r="G377" s="34"/>
      <c r="H377" s="49"/>
      <c r="I377" s="50"/>
      <c r="J377" s="50"/>
      <c r="K377" s="34"/>
    </row>
    <row r="378" spans="2:11" x14ac:dyDescent="0.45">
      <c r="B378" s="7"/>
      <c r="C378" s="7"/>
      <c r="D378" s="7"/>
      <c r="E378" s="7"/>
      <c r="F378" s="25"/>
      <c r="G378" s="7"/>
      <c r="H378" s="25"/>
      <c r="I378" s="26"/>
      <c r="J378" s="26"/>
      <c r="K378" s="7"/>
    </row>
    <row r="379" spans="2:11" x14ac:dyDescent="0.45">
      <c r="B379" s="34"/>
      <c r="C379" s="34"/>
      <c r="D379" s="34"/>
      <c r="E379" s="34"/>
      <c r="F379" s="49"/>
      <c r="G379" s="34"/>
      <c r="H379" s="49"/>
      <c r="I379" s="50"/>
      <c r="J379" s="50"/>
      <c r="K379" s="34"/>
    </row>
    <row r="380" spans="2:11" x14ac:dyDescent="0.45">
      <c r="B380" s="7"/>
      <c r="C380" s="7"/>
      <c r="D380" s="7"/>
      <c r="E380" s="7"/>
      <c r="F380" s="25"/>
      <c r="G380" s="7"/>
      <c r="H380" s="25"/>
      <c r="I380" s="26"/>
      <c r="J380" s="26"/>
      <c r="K380" s="7"/>
    </row>
    <row r="381" spans="2:11" x14ac:dyDescent="0.45">
      <c r="B381" s="34"/>
      <c r="C381" s="34"/>
      <c r="D381" s="34"/>
      <c r="E381" s="34"/>
      <c r="F381" s="49"/>
      <c r="G381" s="34"/>
      <c r="H381" s="49"/>
      <c r="I381" s="50"/>
      <c r="J381" s="50"/>
      <c r="K381" s="34"/>
    </row>
    <row r="382" spans="2:11" x14ac:dyDescent="0.45">
      <c r="B382" s="7"/>
      <c r="C382" s="7"/>
      <c r="D382" s="7"/>
      <c r="E382" s="7"/>
      <c r="F382" s="25"/>
      <c r="G382" s="7"/>
      <c r="H382" s="25"/>
      <c r="I382" s="26"/>
      <c r="J382" s="26"/>
      <c r="K382" s="7"/>
    </row>
    <row r="383" spans="2:11" x14ac:dyDescent="0.45">
      <c r="B383" s="34"/>
      <c r="C383" s="34"/>
      <c r="D383" s="34"/>
      <c r="E383" s="34"/>
      <c r="F383" s="49"/>
      <c r="G383" s="34"/>
      <c r="H383" s="49"/>
      <c r="I383" s="50"/>
      <c r="J383" s="50"/>
      <c r="K383" s="34"/>
    </row>
    <row r="384" spans="2:11" x14ac:dyDescent="0.45">
      <c r="B384" s="7"/>
      <c r="C384" s="7"/>
      <c r="D384" s="7"/>
      <c r="E384" s="7"/>
      <c r="F384" s="25"/>
      <c r="G384" s="7"/>
      <c r="H384" s="25"/>
      <c r="I384" s="26"/>
      <c r="J384" s="26"/>
      <c r="K384" s="7"/>
    </row>
    <row r="385" spans="2:11" x14ac:dyDescent="0.45">
      <c r="B385" s="34"/>
      <c r="C385" s="34"/>
      <c r="D385" s="34"/>
      <c r="E385" s="34"/>
      <c r="F385" s="49"/>
      <c r="G385" s="34"/>
      <c r="H385" s="49"/>
      <c r="I385" s="50"/>
      <c r="J385" s="50"/>
      <c r="K385" s="34"/>
    </row>
    <row r="386" spans="2:11" x14ac:dyDescent="0.45">
      <c r="B386" s="7"/>
      <c r="C386" s="7"/>
      <c r="D386" s="7"/>
      <c r="E386" s="7"/>
      <c r="F386" s="25"/>
      <c r="G386" s="7"/>
      <c r="H386" s="25"/>
      <c r="I386" s="26"/>
      <c r="J386" s="26"/>
      <c r="K386" s="7"/>
    </row>
    <row r="387" spans="2:11" x14ac:dyDescent="0.45">
      <c r="B387" s="34"/>
      <c r="C387" s="34"/>
      <c r="D387" s="34"/>
      <c r="E387" s="34"/>
      <c r="F387" s="49"/>
      <c r="G387" s="34"/>
      <c r="H387" s="49"/>
      <c r="I387" s="50"/>
      <c r="J387" s="50"/>
      <c r="K387" s="34"/>
    </row>
    <row r="388" spans="2:11" x14ac:dyDescent="0.45">
      <c r="B388" s="7"/>
      <c r="C388" s="7"/>
      <c r="D388" s="7"/>
      <c r="E388" s="7"/>
      <c r="F388" s="25"/>
      <c r="G388" s="7"/>
      <c r="H388" s="25"/>
      <c r="I388" s="26"/>
      <c r="J388" s="26"/>
      <c r="K388" s="7"/>
    </row>
    <row r="389" spans="2:11" x14ac:dyDescent="0.45">
      <c r="B389" s="34"/>
      <c r="C389" s="34"/>
      <c r="D389" s="34"/>
      <c r="E389" s="34"/>
      <c r="F389" s="49"/>
      <c r="G389" s="34"/>
      <c r="H389" s="49"/>
      <c r="I389" s="50"/>
      <c r="J389" s="50"/>
      <c r="K389" s="34"/>
    </row>
    <row r="390" spans="2:11" x14ac:dyDescent="0.45">
      <c r="B390" s="7"/>
      <c r="C390" s="7"/>
      <c r="D390" s="7"/>
      <c r="E390" s="7"/>
      <c r="F390" s="25"/>
      <c r="G390" s="7"/>
      <c r="H390" s="25"/>
      <c r="I390" s="26"/>
      <c r="J390" s="26"/>
      <c r="K390" s="7"/>
    </row>
    <row r="391" spans="2:11" x14ac:dyDescent="0.45">
      <c r="B391" s="34"/>
      <c r="C391" s="34"/>
      <c r="D391" s="34"/>
      <c r="E391" s="34"/>
      <c r="F391" s="49"/>
      <c r="G391" s="34"/>
      <c r="H391" s="49"/>
      <c r="I391" s="50"/>
      <c r="J391" s="50"/>
      <c r="K391" s="34"/>
    </row>
    <row r="392" spans="2:11" x14ac:dyDescent="0.45">
      <c r="B392" s="7"/>
      <c r="C392" s="7"/>
      <c r="D392" s="7"/>
      <c r="E392" s="7"/>
      <c r="F392" s="25"/>
      <c r="G392" s="7"/>
      <c r="H392" s="25"/>
      <c r="I392" s="26"/>
      <c r="J392" s="26"/>
      <c r="K392" s="7"/>
    </row>
    <row r="393" spans="2:11" x14ac:dyDescent="0.45">
      <c r="B393" s="34"/>
      <c r="C393" s="34"/>
      <c r="D393" s="34"/>
      <c r="E393" s="34"/>
      <c r="F393" s="49"/>
      <c r="G393" s="34"/>
      <c r="H393" s="49"/>
      <c r="I393" s="50"/>
      <c r="J393" s="50"/>
      <c r="K393" s="34"/>
    </row>
    <row r="394" spans="2:11" x14ac:dyDescent="0.45">
      <c r="B394" s="7"/>
      <c r="C394" s="7"/>
      <c r="D394" s="7"/>
      <c r="E394" s="7"/>
      <c r="F394" s="25"/>
      <c r="G394" s="7"/>
      <c r="H394" s="25"/>
      <c r="I394" s="26"/>
      <c r="J394" s="26"/>
      <c r="K394" s="7"/>
    </row>
    <row r="395" spans="2:11" x14ac:dyDescent="0.45">
      <c r="B395" s="34"/>
      <c r="C395" s="34"/>
      <c r="D395" s="34"/>
      <c r="E395" s="34"/>
      <c r="F395" s="49"/>
      <c r="G395" s="34"/>
      <c r="H395" s="49"/>
      <c r="I395" s="50"/>
      <c r="J395" s="50"/>
      <c r="K395" s="34"/>
    </row>
    <row r="396" spans="2:11" x14ac:dyDescent="0.45">
      <c r="B396" s="7"/>
      <c r="C396" s="7"/>
      <c r="D396" s="7"/>
      <c r="E396" s="7"/>
      <c r="F396" s="25"/>
      <c r="G396" s="7"/>
      <c r="H396" s="25"/>
      <c r="I396" s="26"/>
      <c r="J396" s="26"/>
      <c r="K396" s="7"/>
    </row>
    <row r="397" spans="2:11" x14ac:dyDescent="0.45">
      <c r="B397" s="34"/>
      <c r="C397" s="34"/>
      <c r="D397" s="34"/>
      <c r="E397" s="34"/>
      <c r="F397" s="49"/>
      <c r="G397" s="34"/>
      <c r="H397" s="49"/>
      <c r="I397" s="50"/>
      <c r="J397" s="50"/>
      <c r="K397" s="34"/>
    </row>
    <row r="398" spans="2:11" x14ac:dyDescent="0.45">
      <c r="B398" s="7"/>
      <c r="C398" s="7"/>
      <c r="D398" s="7"/>
      <c r="E398" s="7"/>
      <c r="F398" s="25"/>
      <c r="G398" s="7"/>
      <c r="H398" s="25"/>
      <c r="I398" s="26"/>
      <c r="J398" s="26"/>
      <c r="K398" s="7"/>
    </row>
    <row r="399" spans="2:11" x14ac:dyDescent="0.45">
      <c r="B399" s="34"/>
      <c r="C399" s="34"/>
      <c r="D399" s="34"/>
      <c r="E399" s="34"/>
      <c r="F399" s="49"/>
      <c r="G399" s="34"/>
      <c r="H399" s="49"/>
      <c r="I399" s="50"/>
      <c r="J399" s="50"/>
      <c r="K399" s="34"/>
    </row>
    <row r="400" spans="2:11" x14ac:dyDescent="0.45">
      <c r="B400" s="7"/>
      <c r="C400" s="7"/>
      <c r="D400" s="7"/>
      <c r="E400" s="7"/>
      <c r="F400" s="25"/>
      <c r="G400" s="7"/>
      <c r="H400" s="25"/>
      <c r="I400" s="26"/>
      <c r="J400" s="26"/>
      <c r="K400" s="7"/>
    </row>
    <row r="401" spans="2:11" x14ac:dyDescent="0.45">
      <c r="B401" s="34"/>
      <c r="C401" s="34"/>
      <c r="D401" s="34"/>
      <c r="E401" s="34"/>
      <c r="F401" s="49"/>
      <c r="G401" s="34"/>
      <c r="H401" s="49"/>
      <c r="I401" s="50"/>
      <c r="J401" s="50"/>
      <c r="K401" s="34"/>
    </row>
    <row r="402" spans="2:11" x14ac:dyDescent="0.45">
      <c r="B402" s="7"/>
      <c r="C402" s="7"/>
      <c r="D402" s="7"/>
      <c r="E402" s="7"/>
      <c r="F402" s="25"/>
      <c r="G402" s="7"/>
      <c r="H402" s="25"/>
      <c r="I402" s="26"/>
      <c r="J402" s="26"/>
      <c r="K402" s="7"/>
    </row>
    <row r="403" spans="2:11" x14ac:dyDescent="0.45">
      <c r="B403" s="34"/>
      <c r="C403" s="34"/>
      <c r="D403" s="34"/>
      <c r="E403" s="34"/>
      <c r="F403" s="49"/>
      <c r="G403" s="34"/>
      <c r="H403" s="49"/>
      <c r="I403" s="50"/>
      <c r="J403" s="50"/>
      <c r="K403" s="34"/>
    </row>
    <row r="404" spans="2:11" x14ac:dyDescent="0.45">
      <c r="B404" s="7"/>
      <c r="C404" s="7"/>
      <c r="D404" s="7"/>
      <c r="E404" s="7"/>
      <c r="F404" s="25"/>
      <c r="G404" s="7"/>
      <c r="H404" s="25"/>
      <c r="I404" s="26"/>
      <c r="J404" s="26"/>
      <c r="K404" s="7"/>
    </row>
    <row r="405" spans="2:11" x14ac:dyDescent="0.45">
      <c r="B405" s="34"/>
      <c r="C405" s="34"/>
      <c r="D405" s="34"/>
      <c r="E405" s="34"/>
      <c r="F405" s="49"/>
      <c r="G405" s="34"/>
      <c r="H405" s="49"/>
      <c r="I405" s="50"/>
      <c r="J405" s="50"/>
      <c r="K405" s="34"/>
    </row>
    <row r="406" spans="2:11" x14ac:dyDescent="0.45">
      <c r="B406" s="7"/>
      <c r="C406" s="7"/>
      <c r="D406" s="7"/>
      <c r="E406" s="7"/>
      <c r="F406" s="25"/>
      <c r="G406" s="7"/>
      <c r="H406" s="25"/>
      <c r="I406" s="26"/>
      <c r="J406" s="26"/>
      <c r="K406" s="7"/>
    </row>
    <row r="407" spans="2:11" x14ac:dyDescent="0.45">
      <c r="B407" s="34"/>
      <c r="C407" s="34"/>
      <c r="D407" s="34"/>
      <c r="E407" s="34"/>
      <c r="F407" s="49"/>
      <c r="G407" s="34"/>
      <c r="H407" s="49"/>
      <c r="I407" s="50"/>
      <c r="J407" s="50"/>
      <c r="K407" s="34"/>
    </row>
    <row r="408" spans="2:11" x14ac:dyDescent="0.45">
      <c r="B408" s="7"/>
      <c r="C408" s="7"/>
      <c r="D408" s="7"/>
      <c r="E408" s="7"/>
      <c r="F408" s="25"/>
      <c r="G408" s="7"/>
      <c r="H408" s="25"/>
      <c r="I408" s="26"/>
      <c r="J408" s="26"/>
      <c r="K408" s="7"/>
    </row>
    <row r="409" spans="2:11" x14ac:dyDescent="0.45">
      <c r="B409" s="34"/>
      <c r="C409" s="34"/>
      <c r="D409" s="34"/>
      <c r="E409" s="34"/>
      <c r="F409" s="49"/>
      <c r="G409" s="34"/>
      <c r="H409" s="49"/>
      <c r="I409" s="50"/>
      <c r="J409" s="50"/>
      <c r="K409" s="34"/>
    </row>
    <row r="410" spans="2:11" x14ac:dyDescent="0.45">
      <c r="B410" s="7"/>
      <c r="C410" s="7"/>
      <c r="D410" s="7"/>
      <c r="E410" s="7"/>
      <c r="F410" s="25"/>
      <c r="G410" s="7"/>
      <c r="H410" s="25"/>
      <c r="I410" s="26"/>
      <c r="J410" s="26"/>
      <c r="K410" s="7"/>
    </row>
    <row r="411" spans="2:11" x14ac:dyDescent="0.45">
      <c r="B411" s="34"/>
      <c r="C411" s="34"/>
      <c r="D411" s="34"/>
      <c r="E411" s="34"/>
      <c r="F411" s="49"/>
      <c r="G411" s="34"/>
      <c r="H411" s="49"/>
      <c r="I411" s="50"/>
      <c r="J411" s="50"/>
      <c r="K411" s="34"/>
    </row>
    <row r="412" spans="2:11" x14ac:dyDescent="0.45">
      <c r="B412" s="7"/>
      <c r="C412" s="7"/>
      <c r="D412" s="7"/>
      <c r="E412" s="7"/>
      <c r="F412" s="25"/>
      <c r="G412" s="7"/>
      <c r="H412" s="25"/>
      <c r="I412" s="26"/>
      <c r="J412" s="26"/>
      <c r="K412" s="7"/>
    </row>
    <row r="413" spans="2:11" x14ac:dyDescent="0.45">
      <c r="B413" s="34"/>
      <c r="C413" s="34"/>
      <c r="D413" s="34"/>
      <c r="E413" s="34"/>
      <c r="F413" s="49"/>
      <c r="G413" s="34"/>
      <c r="H413" s="49"/>
      <c r="I413" s="50"/>
      <c r="J413" s="50"/>
      <c r="K413" s="34"/>
    </row>
    <row r="414" spans="2:11" x14ac:dyDescent="0.45">
      <c r="B414" s="7"/>
      <c r="C414" s="7"/>
      <c r="D414" s="7"/>
      <c r="E414" s="7"/>
      <c r="F414" s="25"/>
      <c r="G414" s="7"/>
      <c r="H414" s="25"/>
      <c r="I414" s="26"/>
      <c r="J414" s="26"/>
      <c r="K414" s="7"/>
    </row>
    <row r="415" spans="2:11" x14ac:dyDescent="0.45">
      <c r="B415" s="34"/>
      <c r="C415" s="34"/>
      <c r="D415" s="34"/>
      <c r="E415" s="34"/>
      <c r="F415" s="49"/>
      <c r="G415" s="34"/>
      <c r="H415" s="49"/>
      <c r="I415" s="50"/>
      <c r="J415" s="50"/>
      <c r="K415" s="34"/>
    </row>
    <row r="416" spans="2:11" x14ac:dyDescent="0.45">
      <c r="B416" s="7"/>
      <c r="C416" s="7"/>
      <c r="D416" s="7"/>
      <c r="E416" s="7"/>
      <c r="F416" s="25"/>
      <c r="G416" s="7"/>
      <c r="H416" s="25"/>
      <c r="I416" s="26"/>
      <c r="J416" s="26"/>
      <c r="K416" s="7"/>
    </row>
    <row r="417" spans="2:11" x14ac:dyDescent="0.45">
      <c r="B417" s="34"/>
      <c r="C417" s="34"/>
      <c r="D417" s="34"/>
      <c r="E417" s="34"/>
      <c r="F417" s="49"/>
      <c r="G417" s="34"/>
      <c r="H417" s="49"/>
      <c r="I417" s="50"/>
      <c r="J417" s="50"/>
      <c r="K417" s="34"/>
    </row>
    <row r="418" spans="2:11" x14ac:dyDescent="0.45">
      <c r="B418" s="7"/>
      <c r="C418" s="7"/>
      <c r="D418" s="7"/>
      <c r="E418" s="7"/>
      <c r="F418" s="25"/>
      <c r="G418" s="7"/>
      <c r="H418" s="25"/>
      <c r="I418" s="26"/>
      <c r="J418" s="26"/>
      <c r="K418" s="7"/>
    </row>
    <row r="419" spans="2:11" x14ac:dyDescent="0.45">
      <c r="B419" s="34"/>
      <c r="C419" s="34"/>
      <c r="D419" s="34"/>
      <c r="E419" s="34"/>
      <c r="F419" s="49"/>
      <c r="G419" s="34"/>
      <c r="H419" s="49"/>
      <c r="I419" s="50"/>
      <c r="J419" s="50"/>
      <c r="K419" s="34"/>
    </row>
    <row r="420" spans="2:11" x14ac:dyDescent="0.45">
      <c r="B420" s="7"/>
      <c r="C420" s="7"/>
      <c r="D420" s="7"/>
      <c r="E420" s="7"/>
      <c r="F420" s="25"/>
      <c r="G420" s="7"/>
      <c r="H420" s="25"/>
      <c r="I420" s="26"/>
      <c r="J420" s="26"/>
      <c r="K420" s="7"/>
    </row>
    <row r="421" spans="2:11" x14ac:dyDescent="0.45">
      <c r="B421" s="34"/>
      <c r="C421" s="34"/>
      <c r="D421" s="34"/>
      <c r="E421" s="34"/>
      <c r="F421" s="49"/>
      <c r="G421" s="34"/>
      <c r="H421" s="49"/>
      <c r="I421" s="50"/>
      <c r="J421" s="50"/>
      <c r="K421" s="34"/>
    </row>
    <row r="422" spans="2:11" x14ac:dyDescent="0.45">
      <c r="B422" s="7"/>
      <c r="C422" s="7"/>
      <c r="D422" s="7"/>
      <c r="E422" s="7"/>
      <c r="F422" s="25"/>
      <c r="G422" s="7"/>
      <c r="H422" s="25"/>
      <c r="I422" s="26"/>
      <c r="J422" s="26"/>
      <c r="K422" s="7"/>
    </row>
    <row r="423" spans="2:11" x14ac:dyDescent="0.45">
      <c r="B423" s="34"/>
      <c r="C423" s="34"/>
      <c r="D423" s="34"/>
      <c r="E423" s="34"/>
      <c r="F423" s="49"/>
      <c r="G423" s="34"/>
      <c r="H423" s="49"/>
      <c r="I423" s="50"/>
      <c r="J423" s="50"/>
      <c r="K423" s="34"/>
    </row>
    <row r="424" spans="2:11" x14ac:dyDescent="0.45">
      <c r="B424" s="7"/>
      <c r="C424" s="7"/>
      <c r="D424" s="7"/>
      <c r="E424" s="7"/>
      <c r="F424" s="25"/>
      <c r="G424" s="7"/>
      <c r="H424" s="25"/>
      <c r="I424" s="26"/>
      <c r="J424" s="26"/>
      <c r="K424" s="7"/>
    </row>
    <row r="425" spans="2:11" x14ac:dyDescent="0.45">
      <c r="B425" s="34"/>
      <c r="C425" s="34"/>
      <c r="D425" s="34"/>
      <c r="E425" s="34"/>
      <c r="F425" s="49"/>
      <c r="G425" s="34"/>
      <c r="H425" s="49"/>
      <c r="I425" s="50"/>
      <c r="J425" s="50"/>
      <c r="K425" s="34"/>
    </row>
    <row r="426" spans="2:11" x14ac:dyDescent="0.45">
      <c r="B426" s="7"/>
      <c r="C426" s="7"/>
      <c r="D426" s="7"/>
      <c r="E426" s="7"/>
      <c r="F426" s="25"/>
      <c r="G426" s="7"/>
      <c r="H426" s="25"/>
      <c r="I426" s="26"/>
      <c r="J426" s="26"/>
      <c r="K426" s="7"/>
    </row>
    <row r="427" spans="2:11" x14ac:dyDescent="0.45">
      <c r="B427" s="34"/>
      <c r="C427" s="34"/>
      <c r="D427" s="34"/>
      <c r="E427" s="34"/>
      <c r="F427" s="49"/>
      <c r="G427" s="34"/>
      <c r="H427" s="49"/>
      <c r="I427" s="50"/>
      <c r="J427" s="50"/>
      <c r="K427" s="34"/>
    </row>
    <row r="428" spans="2:11" x14ac:dyDescent="0.45">
      <c r="B428" s="7"/>
      <c r="C428" s="7"/>
      <c r="D428" s="7"/>
      <c r="E428" s="7"/>
      <c r="F428" s="25"/>
      <c r="G428" s="7"/>
      <c r="H428" s="25"/>
      <c r="I428" s="26"/>
      <c r="J428" s="26"/>
      <c r="K428" s="7"/>
    </row>
    <row r="429" spans="2:11" x14ac:dyDescent="0.45">
      <c r="B429" s="34"/>
      <c r="C429" s="34"/>
      <c r="D429" s="34"/>
      <c r="E429" s="34"/>
      <c r="F429" s="49"/>
      <c r="G429" s="34"/>
      <c r="H429" s="49"/>
      <c r="I429" s="50"/>
      <c r="J429" s="50"/>
      <c r="K429" s="34"/>
    </row>
    <row r="430" spans="2:11" x14ac:dyDescent="0.45">
      <c r="B430" s="7"/>
      <c r="C430" s="7"/>
      <c r="D430" s="7"/>
      <c r="E430" s="7"/>
      <c r="F430" s="25"/>
      <c r="G430" s="7"/>
      <c r="H430" s="25"/>
      <c r="I430" s="26"/>
      <c r="J430" s="26"/>
      <c r="K430" s="7"/>
    </row>
    <row r="431" spans="2:11" x14ac:dyDescent="0.45">
      <c r="B431" s="34"/>
      <c r="C431" s="34"/>
      <c r="D431" s="34"/>
      <c r="E431" s="34"/>
      <c r="F431" s="49"/>
      <c r="G431" s="34"/>
      <c r="H431" s="49"/>
      <c r="I431" s="50"/>
      <c r="J431" s="50"/>
      <c r="K431" s="34"/>
    </row>
    <row r="432" spans="2:11" x14ac:dyDescent="0.45">
      <c r="B432" s="7"/>
      <c r="C432" s="7"/>
      <c r="D432" s="7"/>
      <c r="E432" s="7"/>
      <c r="F432" s="25"/>
      <c r="G432" s="7"/>
      <c r="H432" s="25"/>
      <c r="I432" s="26"/>
      <c r="J432" s="26"/>
      <c r="K432" s="7"/>
    </row>
    <row r="433" spans="2:11" x14ac:dyDescent="0.45">
      <c r="B433" s="34"/>
      <c r="C433" s="34"/>
      <c r="D433" s="34"/>
      <c r="E433" s="34"/>
      <c r="F433" s="49"/>
      <c r="G433" s="34"/>
      <c r="H433" s="49"/>
      <c r="I433" s="50"/>
      <c r="J433" s="50"/>
      <c r="K433" s="34"/>
    </row>
    <row r="434" spans="2:11" x14ac:dyDescent="0.45">
      <c r="B434" s="7"/>
      <c r="C434" s="7"/>
      <c r="D434" s="7"/>
      <c r="E434" s="7"/>
      <c r="F434" s="25"/>
      <c r="G434" s="7"/>
      <c r="H434" s="25"/>
      <c r="I434" s="26"/>
      <c r="J434" s="26"/>
      <c r="K434" s="7"/>
    </row>
    <row r="435" spans="2:11" x14ac:dyDescent="0.45">
      <c r="B435" s="34"/>
      <c r="C435" s="34"/>
      <c r="D435" s="34"/>
      <c r="E435" s="34"/>
      <c r="F435" s="49"/>
      <c r="G435" s="34"/>
      <c r="H435" s="49"/>
      <c r="I435" s="50"/>
      <c r="J435" s="50"/>
      <c r="K435" s="34"/>
    </row>
    <row r="436" spans="2:11" x14ac:dyDescent="0.45">
      <c r="B436" s="7"/>
      <c r="C436" s="7"/>
      <c r="D436" s="7"/>
      <c r="E436" s="7"/>
      <c r="F436" s="25"/>
      <c r="G436" s="7"/>
      <c r="H436" s="25"/>
      <c r="I436" s="26"/>
      <c r="J436" s="26"/>
      <c r="K436" s="7"/>
    </row>
    <row r="437" spans="2:11" x14ac:dyDescent="0.45">
      <c r="B437" s="34"/>
      <c r="C437" s="34"/>
      <c r="D437" s="34"/>
      <c r="E437" s="34"/>
      <c r="F437" s="49"/>
      <c r="G437" s="34"/>
      <c r="H437" s="49"/>
      <c r="I437" s="50"/>
      <c r="J437" s="50"/>
      <c r="K437" s="34"/>
    </row>
    <row r="438" spans="2:11" x14ac:dyDescent="0.45">
      <c r="B438" s="7"/>
      <c r="C438" s="7"/>
      <c r="D438" s="7"/>
      <c r="E438" s="7"/>
      <c r="F438" s="25"/>
      <c r="G438" s="7"/>
      <c r="H438" s="25"/>
      <c r="I438" s="26"/>
      <c r="J438" s="26"/>
      <c r="K438" s="7"/>
    </row>
    <row r="439" spans="2:11" x14ac:dyDescent="0.45">
      <c r="B439" s="34"/>
      <c r="C439" s="34"/>
      <c r="D439" s="34"/>
      <c r="E439" s="34"/>
      <c r="F439" s="49"/>
      <c r="G439" s="34"/>
      <c r="H439" s="49"/>
      <c r="I439" s="50"/>
      <c r="J439" s="50"/>
      <c r="K439" s="34"/>
    </row>
    <row r="440" spans="2:11" x14ac:dyDescent="0.45">
      <c r="B440" s="7"/>
      <c r="C440" s="7"/>
      <c r="D440" s="7"/>
      <c r="E440" s="7"/>
      <c r="F440" s="25"/>
      <c r="G440" s="7"/>
      <c r="H440" s="25"/>
      <c r="I440" s="26"/>
      <c r="J440" s="26"/>
      <c r="K440" s="7"/>
    </row>
    <row r="441" spans="2:11" x14ac:dyDescent="0.45">
      <c r="B441" s="34"/>
      <c r="C441" s="34"/>
      <c r="D441" s="34"/>
      <c r="E441" s="34"/>
      <c r="F441" s="49"/>
      <c r="G441" s="34"/>
      <c r="H441" s="49"/>
      <c r="I441" s="50"/>
      <c r="J441" s="50"/>
      <c r="K441" s="34"/>
    </row>
    <row r="442" spans="2:11" x14ac:dyDescent="0.45">
      <c r="B442" s="7"/>
      <c r="C442" s="7"/>
      <c r="D442" s="7"/>
      <c r="E442" s="7"/>
      <c r="F442" s="25"/>
      <c r="G442" s="7"/>
      <c r="H442" s="25"/>
      <c r="I442" s="26"/>
      <c r="J442" s="26"/>
      <c r="K442" s="7"/>
    </row>
    <row r="443" spans="2:11" x14ac:dyDescent="0.45">
      <c r="B443" s="34"/>
      <c r="C443" s="34"/>
      <c r="D443" s="34"/>
      <c r="E443" s="34"/>
      <c r="F443" s="49"/>
      <c r="G443" s="34"/>
      <c r="H443" s="49"/>
      <c r="I443" s="50"/>
      <c r="J443" s="50"/>
      <c r="K443" s="34"/>
    </row>
    <row r="444" spans="2:11" x14ac:dyDescent="0.45">
      <c r="B444" s="7"/>
      <c r="C444" s="7"/>
      <c r="D444" s="7"/>
      <c r="E444" s="7"/>
      <c r="F444" s="25"/>
      <c r="G444" s="7"/>
      <c r="H444" s="25"/>
      <c r="I444" s="26"/>
      <c r="J444" s="26"/>
      <c r="K444" s="7"/>
    </row>
    <row r="445" spans="2:11" x14ac:dyDescent="0.45">
      <c r="B445" s="34"/>
      <c r="C445" s="34"/>
      <c r="D445" s="34"/>
      <c r="E445" s="34"/>
      <c r="F445" s="49"/>
      <c r="G445" s="34"/>
      <c r="H445" s="49"/>
      <c r="I445" s="50"/>
      <c r="J445" s="50"/>
      <c r="K445" s="34"/>
    </row>
    <row r="446" spans="2:11" x14ac:dyDescent="0.45">
      <c r="B446" s="7"/>
      <c r="C446" s="7"/>
      <c r="D446" s="7"/>
      <c r="E446" s="7"/>
      <c r="F446" s="25"/>
      <c r="G446" s="7"/>
      <c r="H446" s="25"/>
      <c r="I446" s="26"/>
      <c r="J446" s="26"/>
      <c r="K446" s="7"/>
    </row>
    <row r="447" spans="2:11" x14ac:dyDescent="0.45">
      <c r="B447" s="34"/>
      <c r="C447" s="34"/>
      <c r="D447" s="34"/>
      <c r="E447" s="34"/>
      <c r="F447" s="49"/>
      <c r="G447" s="34"/>
      <c r="H447" s="49"/>
      <c r="I447" s="50"/>
      <c r="J447" s="50"/>
      <c r="K447" s="34"/>
    </row>
    <row r="448" spans="2:11" x14ac:dyDescent="0.45">
      <c r="B448" s="7"/>
      <c r="C448" s="7"/>
      <c r="D448" s="7"/>
      <c r="E448" s="7"/>
      <c r="F448" s="25"/>
      <c r="G448" s="7"/>
      <c r="H448" s="25"/>
      <c r="I448" s="26"/>
      <c r="J448" s="26"/>
      <c r="K448" s="7"/>
    </row>
    <row r="449" spans="2:11" x14ac:dyDescent="0.45">
      <c r="B449" s="34"/>
      <c r="C449" s="34"/>
      <c r="D449" s="34"/>
      <c r="E449" s="34"/>
      <c r="F449" s="49"/>
      <c r="G449" s="34"/>
      <c r="H449" s="49"/>
      <c r="I449" s="50"/>
      <c r="J449" s="50"/>
      <c r="K449" s="34"/>
    </row>
    <row r="450" spans="2:11" x14ac:dyDescent="0.45">
      <c r="B450" s="7"/>
      <c r="C450" s="7"/>
      <c r="D450" s="7"/>
      <c r="E450" s="7"/>
      <c r="F450" s="25"/>
      <c r="G450" s="7"/>
      <c r="H450" s="25"/>
      <c r="I450" s="26"/>
      <c r="J450" s="26"/>
      <c r="K450" s="7"/>
    </row>
    <row r="451" spans="2:11" x14ac:dyDescent="0.45">
      <c r="B451" s="34"/>
      <c r="C451" s="34"/>
      <c r="D451" s="34"/>
      <c r="E451" s="34"/>
      <c r="F451" s="49"/>
      <c r="G451" s="34"/>
      <c r="H451" s="49"/>
      <c r="I451" s="50"/>
      <c r="J451" s="50"/>
      <c r="K451" s="34"/>
    </row>
    <row r="452" spans="2:11" x14ac:dyDescent="0.45">
      <c r="B452" s="7"/>
      <c r="C452" s="7"/>
      <c r="D452" s="7"/>
      <c r="E452" s="7"/>
      <c r="F452" s="25"/>
      <c r="G452" s="7"/>
      <c r="H452" s="25"/>
      <c r="I452" s="26"/>
      <c r="J452" s="26"/>
      <c r="K452" s="7"/>
    </row>
    <row r="453" spans="2:11" x14ac:dyDescent="0.45">
      <c r="B453" s="34"/>
      <c r="C453" s="34"/>
      <c r="D453" s="34"/>
      <c r="E453" s="34"/>
      <c r="F453" s="49"/>
      <c r="G453" s="34"/>
      <c r="H453" s="49"/>
      <c r="I453" s="50"/>
      <c r="J453" s="50"/>
      <c r="K453" s="34"/>
    </row>
    <row r="454" spans="2:11" x14ac:dyDescent="0.45">
      <c r="B454" s="7"/>
      <c r="C454" s="7"/>
      <c r="D454" s="7"/>
      <c r="E454" s="7"/>
      <c r="F454" s="25"/>
      <c r="G454" s="7"/>
      <c r="H454" s="25"/>
      <c r="I454" s="26"/>
      <c r="J454" s="26"/>
      <c r="K454" s="7"/>
    </row>
    <row r="455" spans="2:11" x14ac:dyDescent="0.45">
      <c r="B455" s="34"/>
      <c r="C455" s="34"/>
      <c r="D455" s="34"/>
      <c r="E455" s="34"/>
      <c r="F455" s="49"/>
      <c r="G455" s="34"/>
      <c r="H455" s="49"/>
      <c r="I455" s="50"/>
      <c r="J455" s="50"/>
      <c r="K455" s="34"/>
    </row>
    <row r="456" spans="2:11" x14ac:dyDescent="0.45">
      <c r="B456" s="7"/>
      <c r="C456" s="7"/>
      <c r="D456" s="7"/>
      <c r="E456" s="7"/>
      <c r="F456" s="25"/>
      <c r="G456" s="7"/>
      <c r="H456" s="25"/>
      <c r="I456" s="26"/>
      <c r="J456" s="26"/>
      <c r="K456" s="7"/>
    </row>
    <row r="457" spans="2:11" x14ac:dyDescent="0.45">
      <c r="B457" s="34"/>
      <c r="C457" s="34"/>
      <c r="D457" s="34"/>
      <c r="E457" s="34"/>
      <c r="F457" s="49"/>
      <c r="G457" s="34"/>
      <c r="H457" s="49"/>
      <c r="I457" s="50"/>
      <c r="J457" s="50"/>
      <c r="K457" s="34"/>
    </row>
    <row r="458" spans="2:11" x14ac:dyDescent="0.45">
      <c r="B458" s="7"/>
      <c r="C458" s="7"/>
      <c r="D458" s="7"/>
      <c r="E458" s="7"/>
      <c r="F458" s="25"/>
      <c r="G458" s="7"/>
      <c r="H458" s="25"/>
      <c r="I458" s="26"/>
      <c r="J458" s="26"/>
      <c r="K458" s="7"/>
    </row>
    <row r="459" spans="2:11" x14ac:dyDescent="0.45">
      <c r="B459" s="34"/>
      <c r="C459" s="34"/>
      <c r="D459" s="34"/>
      <c r="E459" s="34"/>
      <c r="F459" s="49"/>
      <c r="G459" s="34"/>
      <c r="H459" s="49"/>
      <c r="I459" s="50"/>
      <c r="J459" s="50"/>
      <c r="K459" s="34"/>
    </row>
    <row r="460" spans="2:11" x14ac:dyDescent="0.45">
      <c r="B460" s="7"/>
      <c r="C460" s="7"/>
      <c r="D460" s="7"/>
      <c r="E460" s="7"/>
      <c r="F460" s="25"/>
      <c r="G460" s="7"/>
      <c r="H460" s="25"/>
      <c r="I460" s="26"/>
      <c r="J460" s="26"/>
      <c r="K460" s="7"/>
    </row>
    <row r="461" spans="2:11" x14ac:dyDescent="0.45">
      <c r="B461" s="34"/>
      <c r="C461" s="34"/>
      <c r="D461" s="34"/>
      <c r="E461" s="34"/>
      <c r="F461" s="49"/>
      <c r="G461" s="34"/>
      <c r="H461" s="49"/>
      <c r="I461" s="50"/>
      <c r="J461" s="50"/>
      <c r="K461" s="34"/>
    </row>
    <row r="462" spans="2:11" x14ac:dyDescent="0.45">
      <c r="B462" s="7"/>
      <c r="C462" s="7"/>
      <c r="D462" s="7"/>
      <c r="E462" s="7"/>
      <c r="F462" s="25"/>
      <c r="G462" s="7"/>
      <c r="H462" s="25"/>
      <c r="I462" s="26"/>
      <c r="J462" s="26"/>
      <c r="K462" s="7"/>
    </row>
    <row r="463" spans="2:11" x14ac:dyDescent="0.45">
      <c r="B463" s="34"/>
      <c r="C463" s="34"/>
      <c r="D463" s="34"/>
      <c r="E463" s="34"/>
      <c r="F463" s="49"/>
      <c r="G463" s="34"/>
      <c r="H463" s="49"/>
      <c r="I463" s="50"/>
      <c r="J463" s="50"/>
      <c r="K463" s="34"/>
    </row>
    <row r="464" spans="2:11" x14ac:dyDescent="0.45">
      <c r="B464" s="7"/>
      <c r="C464" s="7"/>
      <c r="D464" s="7"/>
      <c r="E464" s="7"/>
      <c r="F464" s="25"/>
      <c r="G464" s="7"/>
      <c r="H464" s="25"/>
      <c r="I464" s="26"/>
      <c r="J464" s="26"/>
      <c r="K464" s="7"/>
    </row>
    <row r="465" spans="2:11" x14ac:dyDescent="0.45">
      <c r="B465" s="34"/>
      <c r="C465" s="34"/>
      <c r="D465" s="34"/>
      <c r="E465" s="34"/>
      <c r="F465" s="49"/>
      <c r="G465" s="34"/>
      <c r="H465" s="49"/>
      <c r="I465" s="50"/>
      <c r="J465" s="50"/>
      <c r="K465" s="34"/>
    </row>
    <row r="466" spans="2:11" x14ac:dyDescent="0.45">
      <c r="B466" s="7"/>
      <c r="C466" s="7"/>
      <c r="D466" s="7"/>
      <c r="E466" s="7"/>
      <c r="F466" s="25"/>
      <c r="G466" s="7"/>
      <c r="H466" s="25"/>
      <c r="I466" s="26"/>
      <c r="J466" s="26"/>
      <c r="K466" s="7"/>
    </row>
    <row r="467" spans="2:11" x14ac:dyDescent="0.45">
      <c r="B467" s="34"/>
      <c r="C467" s="34"/>
      <c r="D467" s="34"/>
      <c r="E467" s="34"/>
      <c r="F467" s="49"/>
      <c r="G467" s="34"/>
      <c r="H467" s="49"/>
      <c r="I467" s="50"/>
      <c r="J467" s="50"/>
      <c r="K467" s="34"/>
    </row>
    <row r="468" spans="2:11" x14ac:dyDescent="0.45">
      <c r="B468" s="7"/>
      <c r="C468" s="7"/>
      <c r="D468" s="7"/>
      <c r="E468" s="7"/>
      <c r="F468" s="25"/>
      <c r="G468" s="7"/>
      <c r="H468" s="25"/>
      <c r="I468" s="26"/>
      <c r="J468" s="26"/>
      <c r="K468" s="7"/>
    </row>
    <row r="469" spans="2:11" x14ac:dyDescent="0.45">
      <c r="B469" s="34"/>
      <c r="C469" s="34"/>
      <c r="D469" s="34"/>
      <c r="E469" s="34"/>
      <c r="F469" s="49"/>
      <c r="G469" s="34"/>
      <c r="H469" s="49"/>
      <c r="I469" s="50"/>
      <c r="J469" s="50"/>
      <c r="K469" s="34"/>
    </row>
    <row r="470" spans="2:11" x14ac:dyDescent="0.45">
      <c r="B470" s="7"/>
      <c r="C470" s="7"/>
      <c r="D470" s="7"/>
      <c r="E470" s="7"/>
      <c r="F470" s="25"/>
      <c r="G470" s="7"/>
      <c r="H470" s="25"/>
      <c r="I470" s="26"/>
      <c r="J470" s="26"/>
      <c r="K470" s="7"/>
    </row>
    <row r="471" spans="2:11" x14ac:dyDescent="0.45">
      <c r="B471" s="34"/>
      <c r="C471" s="34"/>
      <c r="D471" s="34"/>
      <c r="E471" s="34"/>
      <c r="F471" s="49"/>
      <c r="G471" s="34"/>
      <c r="H471" s="49"/>
      <c r="I471" s="50"/>
      <c r="J471" s="50"/>
      <c r="K471" s="34"/>
    </row>
    <row r="472" spans="2:11" x14ac:dyDescent="0.45">
      <c r="B472" s="7"/>
      <c r="C472" s="7"/>
      <c r="D472" s="7"/>
      <c r="E472" s="7"/>
      <c r="F472" s="25"/>
      <c r="G472" s="7"/>
      <c r="H472" s="25"/>
      <c r="I472" s="26"/>
      <c r="J472" s="26"/>
      <c r="K472" s="7"/>
    </row>
    <row r="473" spans="2:11" x14ac:dyDescent="0.45">
      <c r="B473" s="34"/>
      <c r="C473" s="34"/>
      <c r="D473" s="34"/>
      <c r="E473" s="34"/>
      <c r="F473" s="49"/>
      <c r="G473" s="34"/>
      <c r="H473" s="49"/>
      <c r="I473" s="50"/>
      <c r="J473" s="50"/>
      <c r="K473" s="34"/>
    </row>
    <row r="474" spans="2:11" x14ac:dyDescent="0.45">
      <c r="B474" s="7"/>
      <c r="C474" s="7"/>
      <c r="D474" s="7"/>
      <c r="E474" s="7"/>
      <c r="F474" s="25"/>
      <c r="G474" s="7"/>
      <c r="H474" s="25"/>
      <c r="I474" s="26"/>
      <c r="J474" s="26"/>
      <c r="K474" s="7"/>
    </row>
    <row r="475" spans="2:11" x14ac:dyDescent="0.45">
      <c r="B475" s="34"/>
      <c r="C475" s="34"/>
      <c r="D475" s="34"/>
      <c r="E475" s="34"/>
      <c r="F475" s="49"/>
      <c r="G475" s="34"/>
      <c r="H475" s="49"/>
      <c r="I475" s="50"/>
      <c r="J475" s="50"/>
      <c r="K475" s="34"/>
    </row>
    <row r="476" spans="2:11" x14ac:dyDescent="0.45">
      <c r="B476" s="7"/>
      <c r="C476" s="7"/>
      <c r="D476" s="7"/>
      <c r="E476" s="7"/>
      <c r="F476" s="25"/>
      <c r="G476" s="7"/>
      <c r="H476" s="25"/>
      <c r="I476" s="26"/>
      <c r="J476" s="26"/>
      <c r="K476" s="7"/>
    </row>
    <row r="477" spans="2:11" x14ac:dyDescent="0.45">
      <c r="B477" s="34"/>
      <c r="C477" s="34"/>
      <c r="D477" s="34"/>
      <c r="E477" s="34"/>
      <c r="F477" s="49"/>
      <c r="G477" s="34"/>
      <c r="H477" s="49"/>
      <c r="I477" s="50"/>
      <c r="J477" s="50"/>
      <c r="K477" s="34"/>
    </row>
    <row r="478" spans="2:11" x14ac:dyDescent="0.45">
      <c r="B478" s="7"/>
      <c r="C478" s="7"/>
      <c r="D478" s="7"/>
      <c r="E478" s="7"/>
      <c r="F478" s="25"/>
      <c r="G478" s="7"/>
      <c r="H478" s="25"/>
      <c r="I478" s="26"/>
      <c r="J478" s="26"/>
      <c r="K478" s="7"/>
    </row>
    <row r="479" spans="2:11" x14ac:dyDescent="0.45">
      <c r="B479" s="34"/>
      <c r="C479" s="34"/>
      <c r="D479" s="34"/>
      <c r="E479" s="34"/>
      <c r="F479" s="49"/>
      <c r="G479" s="34"/>
      <c r="H479" s="49"/>
      <c r="I479" s="50"/>
      <c r="J479" s="50"/>
      <c r="K479" s="34"/>
    </row>
    <row r="480" spans="2:11" x14ac:dyDescent="0.45">
      <c r="B480" s="7"/>
      <c r="C480" s="7"/>
      <c r="D480" s="7"/>
      <c r="E480" s="7"/>
      <c r="F480" s="25"/>
      <c r="G480" s="7"/>
      <c r="H480" s="25"/>
      <c r="I480" s="26"/>
      <c r="J480" s="26"/>
      <c r="K480" s="7"/>
    </row>
    <row r="481" spans="2:11" x14ac:dyDescent="0.45">
      <c r="B481" s="34"/>
      <c r="C481" s="34"/>
      <c r="D481" s="34"/>
      <c r="E481" s="34"/>
      <c r="F481" s="49"/>
      <c r="G481" s="34"/>
      <c r="H481" s="49"/>
      <c r="I481" s="50"/>
      <c r="J481" s="50"/>
      <c r="K481" s="34"/>
    </row>
    <row r="482" spans="2:11" x14ac:dyDescent="0.45">
      <c r="B482" s="7"/>
      <c r="C482" s="7"/>
      <c r="D482" s="7"/>
      <c r="E482" s="7"/>
      <c r="F482" s="25"/>
      <c r="G482" s="7"/>
      <c r="H482" s="25"/>
      <c r="I482" s="26"/>
      <c r="J482" s="26"/>
      <c r="K482" s="7"/>
    </row>
    <row r="483" spans="2:11" x14ac:dyDescent="0.45">
      <c r="B483" s="34"/>
      <c r="C483" s="34"/>
      <c r="D483" s="34"/>
      <c r="E483" s="34"/>
      <c r="F483" s="49"/>
      <c r="G483" s="34"/>
      <c r="H483" s="49"/>
      <c r="I483" s="50"/>
      <c r="J483" s="50"/>
      <c r="K483" s="34"/>
    </row>
    <row r="484" spans="2:11" x14ac:dyDescent="0.45">
      <c r="B484" s="7"/>
      <c r="C484" s="7"/>
      <c r="D484" s="7"/>
      <c r="E484" s="7"/>
      <c r="F484" s="25"/>
      <c r="G484" s="7"/>
      <c r="H484" s="25"/>
      <c r="I484" s="26"/>
      <c r="J484" s="26"/>
      <c r="K484" s="7"/>
    </row>
    <row r="485" spans="2:11" x14ac:dyDescent="0.45">
      <c r="B485" s="34"/>
      <c r="C485" s="34"/>
      <c r="D485" s="34"/>
      <c r="E485" s="34"/>
      <c r="F485" s="49"/>
      <c r="G485" s="34"/>
      <c r="H485" s="49"/>
      <c r="I485" s="50"/>
      <c r="J485" s="50"/>
      <c r="K485" s="34"/>
    </row>
    <row r="486" spans="2:11" x14ac:dyDescent="0.45">
      <c r="B486" s="7"/>
      <c r="C486" s="7"/>
      <c r="D486" s="7"/>
      <c r="E486" s="7"/>
      <c r="F486" s="25"/>
      <c r="G486" s="7"/>
      <c r="H486" s="25"/>
      <c r="I486" s="26"/>
      <c r="J486" s="26"/>
      <c r="K486" s="7"/>
    </row>
    <row r="487" spans="2:11" x14ac:dyDescent="0.45">
      <c r="B487" s="34"/>
      <c r="C487" s="34"/>
      <c r="D487" s="34"/>
      <c r="E487" s="34"/>
      <c r="F487" s="49"/>
      <c r="G487" s="34"/>
      <c r="H487" s="49"/>
      <c r="I487" s="50"/>
      <c r="J487" s="50"/>
      <c r="K487" s="34"/>
    </row>
    <row r="488" spans="2:11" x14ac:dyDescent="0.45">
      <c r="B488" s="7"/>
      <c r="C488" s="7"/>
      <c r="D488" s="7"/>
      <c r="E488" s="7"/>
      <c r="F488" s="25"/>
      <c r="G488" s="7"/>
      <c r="H488" s="25"/>
      <c r="I488" s="26"/>
      <c r="J488" s="26"/>
      <c r="K488" s="7"/>
    </row>
    <row r="489" spans="2:11" x14ac:dyDescent="0.45">
      <c r="B489" s="34"/>
      <c r="C489" s="34"/>
      <c r="D489" s="34"/>
      <c r="E489" s="34"/>
      <c r="F489" s="49"/>
      <c r="G489" s="34"/>
      <c r="H489" s="49"/>
      <c r="I489" s="50"/>
      <c r="J489" s="50"/>
      <c r="K489" s="34"/>
    </row>
    <row r="490" spans="2:11" x14ac:dyDescent="0.45">
      <c r="B490" s="7"/>
      <c r="C490" s="7"/>
      <c r="D490" s="7"/>
      <c r="E490" s="7"/>
      <c r="F490" s="25"/>
      <c r="G490" s="7"/>
      <c r="H490" s="25"/>
      <c r="I490" s="26"/>
      <c r="J490" s="26"/>
      <c r="K490" s="7"/>
    </row>
    <row r="491" spans="2:11" x14ac:dyDescent="0.45">
      <c r="B491" s="34"/>
      <c r="C491" s="34"/>
      <c r="D491" s="34"/>
      <c r="E491" s="34"/>
      <c r="F491" s="49"/>
      <c r="G491" s="34"/>
      <c r="H491" s="49"/>
      <c r="I491" s="50"/>
      <c r="J491" s="50"/>
      <c r="K491" s="34"/>
    </row>
    <row r="492" spans="2:11" x14ac:dyDescent="0.45">
      <c r="B492" s="7"/>
      <c r="C492" s="7"/>
      <c r="D492" s="7"/>
      <c r="E492" s="7"/>
      <c r="F492" s="25"/>
      <c r="G492" s="7"/>
      <c r="H492" s="25"/>
      <c r="I492" s="26"/>
      <c r="J492" s="26"/>
      <c r="K492" s="7"/>
    </row>
    <row r="493" spans="2:11" x14ac:dyDescent="0.45">
      <c r="B493" s="34"/>
      <c r="C493" s="34"/>
      <c r="D493" s="34"/>
      <c r="E493" s="34"/>
      <c r="F493" s="49"/>
      <c r="G493" s="34"/>
      <c r="H493" s="49"/>
      <c r="I493" s="50"/>
      <c r="J493" s="50"/>
      <c r="K493" s="34"/>
    </row>
    <row r="494" spans="2:11" x14ac:dyDescent="0.45">
      <c r="B494" s="7"/>
      <c r="C494" s="7"/>
      <c r="D494" s="7"/>
      <c r="E494" s="7"/>
      <c r="F494" s="25"/>
      <c r="G494" s="7"/>
      <c r="H494" s="25"/>
      <c r="I494" s="26"/>
      <c r="J494" s="26"/>
      <c r="K494" s="7"/>
    </row>
    <row r="495" spans="2:11" x14ac:dyDescent="0.45">
      <c r="B495" s="34"/>
      <c r="C495" s="34"/>
      <c r="D495" s="34"/>
      <c r="E495" s="34"/>
      <c r="F495" s="49"/>
      <c r="G495" s="34"/>
      <c r="H495" s="49"/>
      <c r="I495" s="50"/>
      <c r="J495" s="50"/>
      <c r="K495" s="34"/>
    </row>
    <row r="496" spans="2:11" x14ac:dyDescent="0.45">
      <c r="B496" s="7"/>
      <c r="C496" s="7"/>
      <c r="D496" s="7"/>
      <c r="E496" s="7"/>
      <c r="F496" s="25"/>
      <c r="G496" s="7"/>
      <c r="H496" s="25"/>
      <c r="I496" s="26"/>
      <c r="J496" s="26"/>
      <c r="K496" s="7"/>
    </row>
    <row r="497" spans="2:11" x14ac:dyDescent="0.45">
      <c r="B497" s="34"/>
      <c r="C497" s="34"/>
      <c r="D497" s="34"/>
      <c r="E497" s="34"/>
      <c r="F497" s="49"/>
      <c r="G497" s="34"/>
      <c r="H497" s="49"/>
      <c r="I497" s="50"/>
      <c r="J497" s="50"/>
      <c r="K497" s="34"/>
    </row>
    <row r="498" spans="2:11" x14ac:dyDescent="0.45">
      <c r="B498" s="7"/>
      <c r="C498" s="7"/>
      <c r="D498" s="7"/>
      <c r="E498" s="7"/>
      <c r="F498" s="25"/>
      <c r="G498" s="7"/>
      <c r="H498" s="25"/>
      <c r="I498" s="26"/>
      <c r="J498" s="26"/>
      <c r="K498" s="7"/>
    </row>
    <row r="499" spans="2:11" x14ac:dyDescent="0.45">
      <c r="B499" s="34"/>
      <c r="C499" s="34"/>
      <c r="D499" s="34"/>
      <c r="E499" s="34"/>
      <c r="F499" s="49"/>
      <c r="G499" s="34"/>
      <c r="H499" s="49"/>
      <c r="I499" s="50"/>
      <c r="J499" s="50"/>
      <c r="K499" s="34"/>
    </row>
    <row r="500" spans="2:11" x14ac:dyDescent="0.45">
      <c r="B500" s="7"/>
      <c r="C500" s="7"/>
      <c r="D500" s="7"/>
      <c r="E500" s="7"/>
      <c r="F500" s="25"/>
      <c r="G500" s="7"/>
      <c r="H500" s="25"/>
      <c r="I500" s="26"/>
      <c r="J500" s="26"/>
      <c r="K500" s="7"/>
    </row>
    <row r="501" spans="2:11" x14ac:dyDescent="0.45">
      <c r="B501" s="34"/>
      <c r="C501" s="34"/>
      <c r="D501" s="34"/>
      <c r="E501" s="34"/>
      <c r="F501" s="49"/>
      <c r="G501" s="34"/>
      <c r="H501" s="49"/>
      <c r="I501" s="50"/>
      <c r="J501" s="50"/>
      <c r="K501" s="34"/>
    </row>
    <row r="502" spans="2:11" x14ac:dyDescent="0.45">
      <c r="B502" s="7"/>
      <c r="C502" s="7"/>
      <c r="D502" s="7"/>
      <c r="E502" s="7"/>
      <c r="F502" s="25"/>
      <c r="G502" s="7"/>
      <c r="H502" s="25"/>
      <c r="I502" s="26"/>
      <c r="J502" s="26"/>
      <c r="K502" s="7"/>
    </row>
    <row r="503" spans="2:11" x14ac:dyDescent="0.45">
      <c r="B503" s="34"/>
      <c r="C503" s="34"/>
      <c r="D503" s="34"/>
      <c r="E503" s="34"/>
      <c r="F503" s="49"/>
      <c r="G503" s="34"/>
      <c r="H503" s="49"/>
      <c r="I503" s="50"/>
      <c r="J503" s="50"/>
      <c r="K503" s="34"/>
    </row>
    <row r="504" spans="2:11" x14ac:dyDescent="0.45">
      <c r="B504" s="7"/>
      <c r="C504" s="7"/>
      <c r="D504" s="7"/>
      <c r="E504" s="7"/>
      <c r="F504" s="25"/>
      <c r="G504" s="7"/>
      <c r="H504" s="25"/>
      <c r="I504" s="26"/>
      <c r="J504" s="26"/>
      <c r="K504" s="7"/>
    </row>
    <row r="505" spans="2:11" x14ac:dyDescent="0.45">
      <c r="B505" s="34"/>
      <c r="C505" s="34"/>
      <c r="D505" s="34"/>
      <c r="E505" s="34"/>
      <c r="F505" s="49"/>
      <c r="G505" s="34"/>
      <c r="H505" s="49"/>
      <c r="I505" s="50"/>
      <c r="J505" s="50"/>
      <c r="K505" s="34"/>
    </row>
  </sheetData>
  <mergeCells count="1">
    <mergeCell ref="B2:K2"/>
  </mergeCells>
  <phoneticPr fontId="1" type="noConversion"/>
  <dataValidations count="2">
    <dataValidation type="list" allowBlank="1" showInputMessage="1" showErrorMessage="1" sqref="E6:E505" xr:uid="{068AF694-C632-E048-82A1-815405AEEE8D}">
      <formula1>"Equity, Loan"</formula1>
    </dataValidation>
    <dataValidation type="list" allowBlank="1" showInputMessage="1" showErrorMessage="1" sqref="K6:K505" xr:uid="{C3F6590F-5C63-7A4E-BACE-2CCDDC85FE41}">
      <formula1>"Equity, Equal Principal Payments (EPP), EPP with Grace on Principal, EPP with Grace on Principal &amp; Interest, Annuity, Annuity with Grace on Principal, Annuity with Grace on Principal &amp; Interest, Lump Sum on Principal, Lump Sum on Principal &amp; Interest"</formula1>
    </dataValidation>
  </dataValidations>
  <hyperlinks>
    <hyperlink ref="B3" location="COVER!A1" display="← Return to COVER" xr:uid="{04FDEDA5-C654-FA42-9C16-DA556F364086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4976AA0-6428-8C41-8AC2-9315CC69D194}">
          <x14:formula1>
            <xm:f>'NEW INFRASTRUCTURE'!$C$3:$AP$3</xm:f>
          </x14:formula1>
          <xm:sqref>D6:D505</xm:sqref>
        </x14:dataValidation>
        <x14:dataValidation type="list" allowBlank="1" showInputMessage="1" showErrorMessage="1" xr:uid="{57788B6B-DD74-0941-B104-7F78944A4934}">
          <x14:formula1>
            <xm:f>MACROECONOMIC!$C$8:$C$17</xm:f>
          </x14:formula1>
          <xm:sqref>G6:G505</xm:sqref>
        </x14:dataValidation>
        <x14:dataValidation type="list" allowBlank="1" showInputMessage="1" showErrorMessage="1" xr:uid="{0D2D9E1E-1D0D-A84F-8F19-61105E2A5BB5}">
          <x14:formula1>
            <xm:f>'TECHNOLOGY REGISTER'!$D$7:$D$56</xm:f>
          </x14:formula1>
          <xm:sqref>B6:B505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B699-D3E0-0C41-9A1D-27A5C372F358}">
  <sheetPr>
    <tabColor rgb="FFC00000"/>
  </sheetPr>
  <dimension ref="B1:AP55"/>
  <sheetViews>
    <sheetView showGridLines="0" zoomScale="143" workbookViewId="0">
      <pane xSplit="2" ySplit="5" topLeftCell="AC13" activePane="bottomRight" state="frozen"/>
      <selection pane="topRight"/>
      <selection pane="bottomLeft"/>
      <selection pane="bottomRight" activeCell="P16" sqref="P16:AP22"/>
    </sheetView>
  </sheetViews>
  <sheetFormatPr defaultColWidth="8.8125" defaultRowHeight="14.25" x14ac:dyDescent="0.45"/>
  <cols>
    <col min="1" max="1" width="3" style="15" customWidth="1"/>
    <col min="2" max="2" width="24" style="15" customWidth="1"/>
    <col min="3" max="3" width="10.3125" style="15" bestFit="1" customWidth="1"/>
    <col min="4" max="4" width="10.6875" style="15" bestFit="1" customWidth="1"/>
    <col min="5" max="5" width="8.6875" style="15" bestFit="1" customWidth="1"/>
    <col min="6" max="6" width="11.3125" style="15" bestFit="1" customWidth="1"/>
    <col min="7" max="7" width="9.5" style="15" bestFit="1" customWidth="1"/>
    <col min="8" max="8" width="9" style="15" bestFit="1" customWidth="1"/>
    <col min="9" max="9" width="10.3125" style="15" bestFit="1" customWidth="1"/>
    <col min="10" max="10" width="13.1875" style="15" bestFit="1" customWidth="1"/>
    <col min="11" max="12" width="7.1875" style="15" bestFit="1" customWidth="1"/>
    <col min="13" max="13" width="10.3125" style="15" bestFit="1" customWidth="1"/>
    <col min="14" max="14" width="10.6875" style="15" bestFit="1" customWidth="1"/>
    <col min="15" max="15" width="8.6875" style="15" bestFit="1" customWidth="1"/>
    <col min="16" max="16" width="11.3125" style="15" bestFit="1" customWidth="1"/>
    <col min="17" max="17" width="9.5" style="15" bestFit="1" customWidth="1"/>
    <col min="18" max="18" width="9" style="15" bestFit="1" customWidth="1"/>
    <col min="19" max="19" width="10.3125" style="15" bestFit="1" customWidth="1"/>
    <col min="20" max="20" width="13.1875" style="15" bestFit="1" customWidth="1"/>
    <col min="21" max="21" width="5.1875" style="15" bestFit="1" customWidth="1"/>
    <col min="22" max="22" width="5.6875" style="15" bestFit="1" customWidth="1"/>
    <col min="23" max="23" width="10.3125" style="15" bestFit="1" customWidth="1"/>
    <col min="24" max="24" width="10.6875" style="15" bestFit="1" customWidth="1"/>
    <col min="25" max="25" width="8.6875" style="15" bestFit="1" customWidth="1"/>
    <col min="26" max="26" width="11.3125" style="15" bestFit="1" customWidth="1"/>
    <col min="27" max="27" width="9.5" style="15" bestFit="1" customWidth="1"/>
    <col min="28" max="28" width="9" style="15" customWidth="1"/>
    <col min="29" max="29" width="10.3125" style="15" bestFit="1" customWidth="1"/>
    <col min="30" max="30" width="13.1875" style="15" bestFit="1" customWidth="1"/>
    <col min="31" max="32" width="7.1875" style="15" bestFit="1" customWidth="1"/>
    <col min="33" max="33" width="10.3125" style="15" bestFit="1" customWidth="1"/>
    <col min="34" max="34" width="10.6875" style="15" bestFit="1" customWidth="1"/>
    <col min="35" max="35" width="8.6875" style="15" bestFit="1" customWidth="1"/>
    <col min="36" max="36" width="11.3125" style="15" bestFit="1" customWidth="1"/>
    <col min="37" max="37" width="9.5" style="15" bestFit="1" customWidth="1"/>
    <col min="38" max="38" width="9" style="15" customWidth="1"/>
    <col min="39" max="39" width="10.3125" style="15" bestFit="1" customWidth="1"/>
    <col min="40" max="40" width="13.1875" style="15" bestFit="1" customWidth="1"/>
    <col min="41" max="41" width="5.1875" style="15" bestFit="1" customWidth="1"/>
    <col min="42" max="42" width="5.6875" style="15" bestFit="1" customWidth="1"/>
    <col min="43" max="16384" width="8.8125" style="15"/>
  </cols>
  <sheetData>
    <row r="1" spans="2:42" ht="36" customHeight="1" x14ac:dyDescent="0.45">
      <c r="B1" s="70" t="s">
        <v>179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</row>
    <row r="2" spans="2:42" ht="14" customHeight="1" x14ac:dyDescent="0.45">
      <c r="B2" s="52" t="s">
        <v>94</v>
      </c>
    </row>
    <row r="3" spans="2:42" ht="22.05" customHeight="1" x14ac:dyDescent="0.5">
      <c r="B3" s="76" t="s">
        <v>167</v>
      </c>
      <c r="C3" s="78" t="s">
        <v>44</v>
      </c>
      <c r="D3" s="79"/>
      <c r="E3" s="79"/>
      <c r="F3" s="79"/>
      <c r="G3" s="79"/>
      <c r="H3" s="79"/>
      <c r="I3" s="79"/>
      <c r="J3" s="79"/>
      <c r="K3" s="79"/>
      <c r="L3" s="79"/>
      <c r="M3" s="80" t="s">
        <v>45</v>
      </c>
      <c r="N3" s="81"/>
      <c r="O3" s="81"/>
      <c r="P3" s="81"/>
      <c r="Q3" s="81"/>
      <c r="R3" s="81"/>
      <c r="S3" s="81"/>
      <c r="T3" s="81"/>
      <c r="U3" s="81"/>
      <c r="V3" s="81"/>
      <c r="W3" s="82" t="s">
        <v>47</v>
      </c>
      <c r="X3" s="83"/>
      <c r="Y3" s="83"/>
      <c r="Z3" s="83"/>
      <c r="AA3" s="83"/>
      <c r="AB3" s="83"/>
      <c r="AC3" s="83"/>
      <c r="AD3" s="83"/>
      <c r="AE3" s="83"/>
      <c r="AF3" s="83"/>
      <c r="AG3" s="84" t="s">
        <v>49</v>
      </c>
      <c r="AH3" s="85"/>
      <c r="AI3" s="85"/>
      <c r="AJ3" s="85"/>
      <c r="AK3" s="85"/>
      <c r="AL3" s="85"/>
      <c r="AM3" s="85"/>
      <c r="AN3" s="85"/>
      <c r="AO3" s="85"/>
      <c r="AP3" s="85"/>
    </row>
    <row r="4" spans="2:42" ht="47" customHeight="1" x14ac:dyDescent="0.45">
      <c r="B4" s="77"/>
      <c r="C4" s="86" t="s">
        <v>168</v>
      </c>
      <c r="D4" s="87"/>
      <c r="E4" s="87"/>
      <c r="F4" s="86" t="s">
        <v>74</v>
      </c>
      <c r="G4" s="87"/>
      <c r="H4" s="86" t="s">
        <v>169</v>
      </c>
      <c r="I4" s="87"/>
      <c r="J4" s="87"/>
      <c r="K4" s="86" t="s">
        <v>170</v>
      </c>
      <c r="L4" s="87"/>
      <c r="M4" s="88" t="s">
        <v>168</v>
      </c>
      <c r="N4" s="89"/>
      <c r="O4" s="89"/>
      <c r="P4" s="88" t="s">
        <v>74</v>
      </c>
      <c r="Q4" s="89"/>
      <c r="R4" s="88" t="s">
        <v>169</v>
      </c>
      <c r="S4" s="89"/>
      <c r="T4" s="89"/>
      <c r="U4" s="88" t="s">
        <v>170</v>
      </c>
      <c r="V4" s="89"/>
      <c r="W4" s="74" t="s">
        <v>168</v>
      </c>
      <c r="X4" s="75"/>
      <c r="Y4" s="75"/>
      <c r="Z4" s="74" t="s">
        <v>74</v>
      </c>
      <c r="AA4" s="75"/>
      <c r="AB4" s="74" t="s">
        <v>169</v>
      </c>
      <c r="AC4" s="75"/>
      <c r="AD4" s="75"/>
      <c r="AE4" s="74" t="s">
        <v>170</v>
      </c>
      <c r="AF4" s="75"/>
      <c r="AG4" s="72" t="s">
        <v>168</v>
      </c>
      <c r="AH4" s="73"/>
      <c r="AI4" s="73"/>
      <c r="AJ4" s="72" t="s">
        <v>74</v>
      </c>
      <c r="AK4" s="73"/>
      <c r="AL4" s="72" t="s">
        <v>169</v>
      </c>
      <c r="AM4" s="73"/>
      <c r="AN4" s="73"/>
      <c r="AO4" s="72" t="s">
        <v>170</v>
      </c>
      <c r="AP4" s="73"/>
    </row>
    <row r="5" spans="2:42" ht="14.65" thickBot="1" x14ac:dyDescent="0.5">
      <c r="B5" s="77"/>
      <c r="C5" s="48" t="s">
        <v>171</v>
      </c>
      <c r="D5" s="48" t="s">
        <v>172</v>
      </c>
      <c r="E5" s="48" t="s">
        <v>173</v>
      </c>
      <c r="F5" s="47" t="s">
        <v>174</v>
      </c>
      <c r="G5" s="47" t="s">
        <v>175</v>
      </c>
      <c r="H5" s="47" t="s">
        <v>176</v>
      </c>
      <c r="I5" s="47" t="s">
        <v>177</v>
      </c>
      <c r="J5" s="47" t="s">
        <v>178</v>
      </c>
      <c r="K5" s="47" t="s">
        <v>168</v>
      </c>
      <c r="L5" s="47" t="s">
        <v>74</v>
      </c>
      <c r="M5" s="47" t="s">
        <v>171</v>
      </c>
      <c r="N5" s="47" t="s">
        <v>172</v>
      </c>
      <c r="O5" s="47" t="s">
        <v>173</v>
      </c>
      <c r="P5" s="47" t="s">
        <v>174</v>
      </c>
      <c r="Q5" s="47" t="s">
        <v>175</v>
      </c>
      <c r="R5" s="47" t="s">
        <v>176</v>
      </c>
      <c r="S5" s="47" t="s">
        <v>177</v>
      </c>
      <c r="T5" s="47" t="s">
        <v>178</v>
      </c>
      <c r="U5" s="47" t="s">
        <v>168</v>
      </c>
      <c r="V5" s="47" t="s">
        <v>74</v>
      </c>
      <c r="W5" s="47" t="s">
        <v>171</v>
      </c>
      <c r="X5" s="47" t="s">
        <v>172</v>
      </c>
      <c r="Y5" s="47" t="s">
        <v>173</v>
      </c>
      <c r="Z5" s="47" t="s">
        <v>174</v>
      </c>
      <c r="AA5" s="47" t="s">
        <v>175</v>
      </c>
      <c r="AB5" s="47" t="s">
        <v>176</v>
      </c>
      <c r="AC5" s="47" t="s">
        <v>177</v>
      </c>
      <c r="AD5" s="47" t="s">
        <v>178</v>
      </c>
      <c r="AE5" s="47" t="s">
        <v>168</v>
      </c>
      <c r="AF5" s="47" t="s">
        <v>74</v>
      </c>
      <c r="AG5" s="47" t="s">
        <v>171</v>
      </c>
      <c r="AH5" s="47" t="s">
        <v>172</v>
      </c>
      <c r="AI5" s="47" t="s">
        <v>173</v>
      </c>
      <c r="AJ5" s="47" t="s">
        <v>174</v>
      </c>
      <c r="AK5" s="47" t="s">
        <v>175</v>
      </c>
      <c r="AL5" s="47" t="s">
        <v>176</v>
      </c>
      <c r="AM5" s="47" t="s">
        <v>177</v>
      </c>
      <c r="AN5" s="47" t="s">
        <v>178</v>
      </c>
      <c r="AO5" s="47" t="s">
        <v>168</v>
      </c>
      <c r="AP5" s="47" t="s">
        <v>74</v>
      </c>
    </row>
    <row r="6" spans="2:42" ht="17" customHeight="1" x14ac:dyDescent="0.45">
      <c r="B6" s="46" t="str">
        <f>IF('TECHNOLOGY REGISTER'!D7="","",'TECHNOLOGY REGISTER'!D7)</f>
        <v>Biomass</v>
      </c>
      <c r="C6" s="36">
        <v>0.18659999999999999</v>
      </c>
      <c r="D6" s="36">
        <v>0</v>
      </c>
      <c r="E6" s="36">
        <v>15.77</v>
      </c>
      <c r="F6" s="36">
        <v>0.22500000000000001</v>
      </c>
      <c r="G6" s="36">
        <v>40</v>
      </c>
      <c r="H6" s="36">
        <v>0.63</v>
      </c>
      <c r="I6" s="36">
        <v>0.37</v>
      </c>
      <c r="J6" s="36">
        <v>0</v>
      </c>
      <c r="K6" s="36">
        <v>1</v>
      </c>
      <c r="L6" s="36">
        <v>1</v>
      </c>
      <c r="M6" s="36">
        <v>0.16370000000000001</v>
      </c>
      <c r="N6" s="36">
        <v>0</v>
      </c>
      <c r="O6" s="36">
        <v>18.54</v>
      </c>
      <c r="P6" s="36">
        <v>0.20200000000000001</v>
      </c>
      <c r="Q6" s="36">
        <v>40</v>
      </c>
      <c r="R6" s="36">
        <v>0.63</v>
      </c>
      <c r="S6" s="36">
        <v>0.37</v>
      </c>
      <c r="T6" s="36">
        <v>9.5000000000000001E-2</v>
      </c>
      <c r="U6" s="36">
        <v>0</v>
      </c>
      <c r="V6" s="36">
        <v>0</v>
      </c>
      <c r="W6" s="36">
        <v>4.6899999999999997E-2</v>
      </c>
      <c r="X6" s="36">
        <v>4.59</v>
      </c>
      <c r="Y6" s="36">
        <v>28.25</v>
      </c>
      <c r="Z6" s="36">
        <v>8.5000000000000006E-2</v>
      </c>
      <c r="AA6" s="36">
        <v>40</v>
      </c>
      <c r="AB6" s="36">
        <v>0.96400000000000008</v>
      </c>
      <c r="AC6" s="36">
        <v>3.5999999999999997E-2</v>
      </c>
      <c r="AD6" s="36">
        <v>0.67200000000000004</v>
      </c>
      <c r="AE6" s="36">
        <v>1</v>
      </c>
      <c r="AF6" s="36">
        <v>1</v>
      </c>
      <c r="AG6" s="36">
        <v>0.12690000000000001</v>
      </c>
      <c r="AH6" s="36">
        <v>7.1</v>
      </c>
      <c r="AI6" s="36">
        <v>22.64</v>
      </c>
      <c r="AJ6" s="36">
        <v>0.20200000000000001</v>
      </c>
      <c r="AK6" s="36">
        <v>40</v>
      </c>
      <c r="AL6" s="36">
        <v>0.55000000000000004</v>
      </c>
      <c r="AM6" s="36">
        <v>0.45</v>
      </c>
      <c r="AN6" s="36">
        <v>0.23300000000000001</v>
      </c>
      <c r="AO6" s="36">
        <v>0</v>
      </c>
      <c r="AP6" s="36">
        <v>0</v>
      </c>
    </row>
    <row r="7" spans="2:42" ht="17" customHeight="1" x14ac:dyDescent="0.45">
      <c r="B7" s="45" t="str">
        <f>IF('TECHNOLOGY REGISTER'!D8="","",'TECHNOLOGY REGISTER'!D8)</f>
        <v>Geothermal</v>
      </c>
      <c r="C7" s="37">
        <v>0.18</v>
      </c>
      <c r="D7" s="37">
        <v>0</v>
      </c>
      <c r="E7" s="37">
        <v>15.77</v>
      </c>
      <c r="F7" s="37">
        <v>0.218</v>
      </c>
      <c r="G7" s="37">
        <v>30</v>
      </c>
      <c r="H7" s="37">
        <v>0.63</v>
      </c>
      <c r="I7" s="37">
        <v>0.37</v>
      </c>
      <c r="J7" s="37">
        <v>7.0999999999999994E-2</v>
      </c>
      <c r="K7" s="37">
        <v>1</v>
      </c>
      <c r="L7" s="37">
        <v>1</v>
      </c>
      <c r="M7" s="37">
        <v>0.157</v>
      </c>
      <c r="N7" s="37">
        <v>0</v>
      </c>
      <c r="O7" s="37">
        <v>18.54</v>
      </c>
      <c r="P7" s="37">
        <v>0.19500000000000001</v>
      </c>
      <c r="Q7" s="37">
        <v>30</v>
      </c>
      <c r="R7" s="37">
        <v>0.63</v>
      </c>
      <c r="S7" s="37">
        <v>0.37</v>
      </c>
      <c r="T7" s="37">
        <v>3.0000000000000001E-3</v>
      </c>
      <c r="U7" s="37">
        <v>0</v>
      </c>
      <c r="V7" s="37">
        <v>0</v>
      </c>
      <c r="W7" s="37">
        <v>4.6899999999999997E-2</v>
      </c>
      <c r="X7" s="37">
        <v>4.59</v>
      </c>
      <c r="Y7" s="37">
        <v>28.25</v>
      </c>
      <c r="Z7" s="37">
        <v>8.5000000000000006E-2</v>
      </c>
      <c r="AA7" s="37">
        <v>30</v>
      </c>
      <c r="AB7" s="37">
        <v>0.96400000000000008</v>
      </c>
      <c r="AC7" s="37">
        <v>3.5999999999999997E-2</v>
      </c>
      <c r="AD7" s="37">
        <v>0.752</v>
      </c>
      <c r="AE7" s="37">
        <v>1</v>
      </c>
      <c r="AF7" s="37">
        <v>1</v>
      </c>
      <c r="AG7" s="37">
        <v>0.127</v>
      </c>
      <c r="AH7" s="37">
        <v>7.1</v>
      </c>
      <c r="AI7" s="37">
        <v>22.64</v>
      </c>
      <c r="AJ7" s="37">
        <v>0.19500000000000001</v>
      </c>
      <c r="AK7" s="37">
        <v>30</v>
      </c>
      <c r="AL7" s="37">
        <v>0.55000000000000004</v>
      </c>
      <c r="AM7" s="37">
        <v>0.45</v>
      </c>
      <c r="AN7" s="37">
        <v>0.17499999999999999</v>
      </c>
      <c r="AO7" s="37">
        <v>0</v>
      </c>
      <c r="AP7" s="37">
        <v>0</v>
      </c>
    </row>
    <row r="8" spans="2:42" ht="17" customHeight="1" x14ac:dyDescent="0.45">
      <c r="B8" s="46" t="str">
        <f>IF('TECHNOLOGY REGISTER'!D9="","",'TECHNOLOGY REGISTER'!D9)</f>
        <v>Solar PV</v>
      </c>
      <c r="C8" s="36">
        <v>0.1757</v>
      </c>
      <c r="D8" s="36">
        <v>0</v>
      </c>
      <c r="E8" s="36">
        <v>15.77</v>
      </c>
      <c r="F8" s="36">
        <v>0.214</v>
      </c>
      <c r="G8" s="36">
        <v>25</v>
      </c>
      <c r="H8" s="36">
        <v>0.63</v>
      </c>
      <c r="I8" s="36">
        <v>0.37</v>
      </c>
      <c r="J8" s="36">
        <v>0.184</v>
      </c>
      <c r="K8" s="36">
        <v>1</v>
      </c>
      <c r="L8" s="36">
        <v>1</v>
      </c>
      <c r="M8" s="36">
        <v>0.153</v>
      </c>
      <c r="N8" s="36">
        <v>0</v>
      </c>
      <c r="O8" s="36">
        <v>18.54</v>
      </c>
      <c r="P8" s="36">
        <v>0.191</v>
      </c>
      <c r="Q8" s="36">
        <v>25</v>
      </c>
      <c r="R8" s="36">
        <v>0.63</v>
      </c>
      <c r="S8" s="36">
        <v>0.37</v>
      </c>
      <c r="T8" s="36">
        <v>0.17</v>
      </c>
      <c r="U8" s="36">
        <v>0</v>
      </c>
      <c r="V8" s="36">
        <v>0</v>
      </c>
      <c r="W8" s="36">
        <v>4.6899999999999997E-2</v>
      </c>
      <c r="X8" s="36">
        <v>4.59</v>
      </c>
      <c r="Y8" s="36">
        <v>28.25</v>
      </c>
      <c r="Z8" s="36">
        <v>8.5000000000000006E-2</v>
      </c>
      <c r="AA8" s="36">
        <v>25</v>
      </c>
      <c r="AB8" s="36">
        <v>0.39800000000000002</v>
      </c>
      <c r="AC8" s="36">
        <v>0.60199999999999998</v>
      </c>
      <c r="AD8" s="36">
        <v>0.5</v>
      </c>
      <c r="AE8" s="36">
        <v>1</v>
      </c>
      <c r="AF8" s="36">
        <v>1</v>
      </c>
      <c r="AG8" s="36">
        <v>0.127</v>
      </c>
      <c r="AH8" s="36">
        <v>7.1</v>
      </c>
      <c r="AI8" s="36">
        <v>22.64</v>
      </c>
      <c r="AJ8" s="36">
        <v>0.191</v>
      </c>
      <c r="AK8" s="36">
        <v>25</v>
      </c>
      <c r="AL8" s="36">
        <v>0.55000000000000004</v>
      </c>
      <c r="AM8" s="36">
        <v>0.45</v>
      </c>
      <c r="AN8" s="36">
        <v>0.14499999999999999</v>
      </c>
      <c r="AO8" s="36">
        <v>0</v>
      </c>
      <c r="AP8" s="36">
        <v>0</v>
      </c>
    </row>
    <row r="9" spans="2:42" ht="17" customHeight="1" x14ac:dyDescent="0.45">
      <c r="B9" s="45" t="str">
        <f>IF('TECHNOLOGY REGISTER'!D10="","",'TECHNOLOGY REGISTER'!D10)</f>
        <v>CSP</v>
      </c>
      <c r="C9" s="37">
        <v>0.17299999999999999</v>
      </c>
      <c r="D9" s="37">
        <v>0</v>
      </c>
      <c r="E9" s="37">
        <v>15.77</v>
      </c>
      <c r="F9" s="37">
        <v>0.2</v>
      </c>
      <c r="G9" s="37">
        <v>50</v>
      </c>
      <c r="H9" s="37">
        <v>0.63</v>
      </c>
      <c r="I9" s="37">
        <v>0.37</v>
      </c>
      <c r="J9" s="37">
        <v>0.78700000000000003</v>
      </c>
      <c r="K9" s="37">
        <v>1</v>
      </c>
      <c r="L9" s="37">
        <v>1</v>
      </c>
      <c r="M9" s="37">
        <v>0.14979999999999999</v>
      </c>
      <c r="N9" s="37">
        <v>0</v>
      </c>
      <c r="O9" s="37">
        <v>18.54</v>
      </c>
      <c r="P9" s="37">
        <v>0.17699999999999999</v>
      </c>
      <c r="Q9" s="37">
        <v>50</v>
      </c>
      <c r="R9" s="37">
        <v>0.63</v>
      </c>
      <c r="S9" s="37">
        <v>0.37</v>
      </c>
      <c r="T9" s="37">
        <v>0.192</v>
      </c>
      <c r="U9" s="37">
        <v>0</v>
      </c>
      <c r="V9" s="37">
        <v>0</v>
      </c>
      <c r="W9" s="37">
        <v>4.6899999999999997E-2</v>
      </c>
      <c r="X9" s="37">
        <v>4.59</v>
      </c>
      <c r="Y9" s="37">
        <v>28.25</v>
      </c>
      <c r="Z9" s="37">
        <v>8.5000000000000006E-2</v>
      </c>
      <c r="AA9" s="37">
        <v>50</v>
      </c>
      <c r="AB9" s="37">
        <v>0.96400000000000008</v>
      </c>
      <c r="AC9" s="37">
        <v>3.5999999999999997E-2</v>
      </c>
      <c r="AD9" s="37">
        <v>0</v>
      </c>
      <c r="AE9" s="37">
        <v>1</v>
      </c>
      <c r="AF9" s="37">
        <v>1</v>
      </c>
      <c r="AG9" s="37">
        <v>0.127</v>
      </c>
      <c r="AH9" s="37">
        <v>7.1</v>
      </c>
      <c r="AI9" s="37">
        <v>22.64</v>
      </c>
      <c r="AJ9" s="37">
        <v>0.17699999999999999</v>
      </c>
      <c r="AK9" s="37">
        <v>50</v>
      </c>
      <c r="AL9" s="37">
        <v>0.55000000000000004</v>
      </c>
      <c r="AM9" s="37">
        <v>0.45</v>
      </c>
      <c r="AN9" s="37">
        <v>0.02</v>
      </c>
      <c r="AO9" s="37">
        <v>0</v>
      </c>
      <c r="AP9" s="37">
        <v>0</v>
      </c>
    </row>
    <row r="10" spans="2:42" ht="17" customHeight="1" x14ac:dyDescent="0.45">
      <c r="B10" s="46" t="str">
        <f>IF('TECHNOLOGY REGISTER'!D11="","",'TECHNOLOGY REGISTER'!D11)</f>
        <v>Hydropower</v>
      </c>
      <c r="C10" s="36">
        <v>0.17610000000000001</v>
      </c>
      <c r="D10" s="36">
        <v>0</v>
      </c>
      <c r="E10" s="36">
        <v>15.77</v>
      </c>
      <c r="F10" s="36">
        <v>0.214</v>
      </c>
      <c r="G10" s="36">
        <v>24</v>
      </c>
      <c r="H10" s="36">
        <v>0.63</v>
      </c>
      <c r="I10" s="36">
        <v>0.37</v>
      </c>
      <c r="J10" s="36">
        <v>1</v>
      </c>
      <c r="K10" s="36">
        <v>1</v>
      </c>
      <c r="L10" s="36">
        <v>1</v>
      </c>
      <c r="M10" s="36">
        <v>0.153</v>
      </c>
      <c r="N10" s="36">
        <v>0</v>
      </c>
      <c r="O10" s="36">
        <v>18.54</v>
      </c>
      <c r="P10" s="36">
        <v>0.191</v>
      </c>
      <c r="Q10" s="36">
        <v>24</v>
      </c>
      <c r="R10" s="36">
        <v>0.63</v>
      </c>
      <c r="S10" s="36">
        <v>0.37</v>
      </c>
      <c r="T10" s="36">
        <v>0</v>
      </c>
      <c r="U10" s="36">
        <v>0</v>
      </c>
      <c r="V10" s="36">
        <v>0</v>
      </c>
      <c r="W10" s="36">
        <v>4.6899999999999997E-2</v>
      </c>
      <c r="X10" s="36">
        <v>4.59</v>
      </c>
      <c r="Y10" s="36">
        <v>28.25</v>
      </c>
      <c r="Z10" s="36">
        <v>8.5000000000000006E-2</v>
      </c>
      <c r="AA10" s="36">
        <v>24</v>
      </c>
      <c r="AB10" s="36">
        <v>0.96400000000000008</v>
      </c>
      <c r="AC10" s="36">
        <v>3.5999999999999997E-2</v>
      </c>
      <c r="AD10" s="36">
        <v>0</v>
      </c>
      <c r="AE10" s="36">
        <v>1</v>
      </c>
      <c r="AF10" s="36">
        <v>1</v>
      </c>
      <c r="AG10" s="36">
        <v>0.127</v>
      </c>
      <c r="AH10" s="36">
        <v>7.1</v>
      </c>
      <c r="AI10" s="36">
        <v>22.64</v>
      </c>
      <c r="AJ10" s="36">
        <v>0.191</v>
      </c>
      <c r="AK10" s="36">
        <v>24</v>
      </c>
      <c r="AL10" s="36">
        <v>0.55000000000000004</v>
      </c>
      <c r="AM10" s="36">
        <v>0.45</v>
      </c>
      <c r="AN10" s="36">
        <v>0</v>
      </c>
      <c r="AO10" s="36">
        <v>0</v>
      </c>
      <c r="AP10" s="36">
        <v>0</v>
      </c>
    </row>
    <row r="11" spans="2:42" ht="17" customHeight="1" x14ac:dyDescent="0.45">
      <c r="B11" s="45" t="str">
        <f>IF('TECHNOLOGY REGISTER'!D12="","",'TECHNOLOGY REGISTER'!D12)</f>
        <v>Nuclear</v>
      </c>
      <c r="C11" s="37">
        <v>0.17269999999999999</v>
      </c>
      <c r="D11" s="37">
        <v>0</v>
      </c>
      <c r="E11" s="37">
        <v>15.77</v>
      </c>
      <c r="F11" s="37">
        <v>0.20300000000000001</v>
      </c>
      <c r="G11" s="37">
        <v>25</v>
      </c>
      <c r="H11" s="37">
        <v>0.63</v>
      </c>
      <c r="I11" s="37">
        <v>0.37</v>
      </c>
      <c r="J11" s="37">
        <v>0.38800000000000001</v>
      </c>
      <c r="K11" s="37">
        <v>1</v>
      </c>
      <c r="L11" s="37">
        <v>1</v>
      </c>
      <c r="M11" s="37">
        <v>0.15</v>
      </c>
      <c r="N11" s="37">
        <v>0</v>
      </c>
      <c r="O11" s="37">
        <v>18.54</v>
      </c>
      <c r="P11" s="37">
        <v>0.18</v>
      </c>
      <c r="Q11" s="37">
        <v>25</v>
      </c>
      <c r="R11" s="37">
        <v>0.63</v>
      </c>
      <c r="S11" s="37">
        <v>0.37</v>
      </c>
      <c r="T11" s="37">
        <v>0.215</v>
      </c>
      <c r="U11" s="37">
        <v>0</v>
      </c>
      <c r="V11" s="37">
        <v>0</v>
      </c>
      <c r="W11" s="37">
        <v>4.6899999999999997E-2</v>
      </c>
      <c r="X11" s="37">
        <v>4.59</v>
      </c>
      <c r="Y11" s="37">
        <v>28.25</v>
      </c>
      <c r="Z11" s="37">
        <v>8.5000000000000006E-2</v>
      </c>
      <c r="AA11" s="37">
        <v>25</v>
      </c>
      <c r="AB11" s="37">
        <v>0.96400000000000008</v>
      </c>
      <c r="AC11" s="37">
        <v>3.5999999999999997E-2</v>
      </c>
      <c r="AD11" s="37">
        <v>0.19400000000000001</v>
      </c>
      <c r="AE11" s="37">
        <v>1</v>
      </c>
      <c r="AF11" s="37">
        <v>1</v>
      </c>
      <c r="AG11" s="37">
        <v>0.127</v>
      </c>
      <c r="AH11" s="37">
        <v>7.1</v>
      </c>
      <c r="AI11" s="37">
        <v>22.64</v>
      </c>
      <c r="AJ11" s="37">
        <v>0.18</v>
      </c>
      <c r="AK11" s="37">
        <v>25</v>
      </c>
      <c r="AL11" s="37">
        <v>0.55000000000000004</v>
      </c>
      <c r="AM11" s="37">
        <v>0.45</v>
      </c>
      <c r="AN11" s="37">
        <v>0.20300000000000001</v>
      </c>
      <c r="AO11" s="37">
        <v>0</v>
      </c>
      <c r="AP11" s="37">
        <v>0</v>
      </c>
    </row>
    <row r="12" spans="2:42" ht="17" customHeight="1" x14ac:dyDescent="0.45">
      <c r="B12" s="46" t="str">
        <f>IF('TECHNOLOGY REGISTER'!D13="","",'TECHNOLOGY REGISTER'!D13)</f>
        <v>Wind</v>
      </c>
      <c r="C12" s="36"/>
      <c r="D12" s="36"/>
      <c r="E12" s="36"/>
      <c r="F12" s="36"/>
      <c r="G12" s="36"/>
      <c r="H12" s="36"/>
      <c r="I12" s="36"/>
      <c r="J12" s="36">
        <v>0</v>
      </c>
      <c r="K12" s="36"/>
      <c r="L12" s="36"/>
      <c r="M12" s="36"/>
      <c r="N12" s="36"/>
      <c r="O12" s="36"/>
      <c r="P12" s="36"/>
      <c r="Q12" s="36"/>
      <c r="R12" s="36"/>
      <c r="S12" s="36"/>
      <c r="T12" s="36">
        <v>0</v>
      </c>
      <c r="U12" s="36"/>
      <c r="V12" s="36"/>
      <c r="W12" s="36"/>
      <c r="X12" s="36"/>
      <c r="Y12" s="36"/>
      <c r="Z12" s="36"/>
      <c r="AA12" s="36"/>
      <c r="AB12" s="36">
        <v>1</v>
      </c>
      <c r="AC12" s="36">
        <v>1</v>
      </c>
      <c r="AD12" s="36">
        <v>0</v>
      </c>
      <c r="AE12" s="36"/>
      <c r="AF12" s="36"/>
      <c r="AG12" s="36"/>
      <c r="AH12" s="36"/>
      <c r="AI12" s="36"/>
      <c r="AJ12" s="36"/>
      <c r="AK12" s="36"/>
      <c r="AL12" s="36"/>
      <c r="AM12" s="36"/>
      <c r="AN12" s="36">
        <v>0</v>
      </c>
      <c r="AO12" s="36"/>
      <c r="AP12" s="36"/>
    </row>
    <row r="13" spans="2:42" ht="17" customHeight="1" x14ac:dyDescent="0.45">
      <c r="B13" s="45" t="str">
        <f>IF('TECHNOLOGY REGISTER'!D14="","",'TECHNOLOGY REGISTER'!D14)</f>
        <v>Coal</v>
      </c>
      <c r="C13" s="37">
        <v>0.1762</v>
      </c>
      <c r="D13" s="37">
        <v>0</v>
      </c>
      <c r="E13" s="37">
        <v>15.77</v>
      </c>
      <c r="F13" s="37">
        <v>0.214</v>
      </c>
      <c r="G13" s="37">
        <v>60</v>
      </c>
      <c r="H13" s="37">
        <v>0.63</v>
      </c>
      <c r="I13" s="37">
        <v>0.37</v>
      </c>
      <c r="J13" s="37">
        <v>1</v>
      </c>
      <c r="K13" s="37">
        <v>1</v>
      </c>
      <c r="L13" s="37">
        <v>1</v>
      </c>
      <c r="M13" s="37">
        <v>0.153</v>
      </c>
      <c r="N13" s="37">
        <v>0</v>
      </c>
      <c r="O13" s="37">
        <v>18.54</v>
      </c>
      <c r="P13" s="37">
        <v>0.192</v>
      </c>
      <c r="Q13" s="37">
        <v>60</v>
      </c>
      <c r="R13" s="37">
        <v>0.63</v>
      </c>
      <c r="S13" s="37">
        <v>0.37</v>
      </c>
      <c r="T13" s="37">
        <v>0</v>
      </c>
      <c r="U13" s="37">
        <v>0</v>
      </c>
      <c r="V13" s="37">
        <v>0</v>
      </c>
      <c r="W13" s="37">
        <v>4.6899999999999997E-2</v>
      </c>
      <c r="X13" s="37">
        <v>4.59</v>
      </c>
      <c r="Y13" s="37">
        <v>28.25</v>
      </c>
      <c r="Z13" s="37">
        <v>8.5000000000000006E-2</v>
      </c>
      <c r="AA13" s="37">
        <v>60</v>
      </c>
      <c r="AB13" s="37">
        <v>0.96400000000000008</v>
      </c>
      <c r="AC13" s="37">
        <v>3.5999999999999997E-2</v>
      </c>
      <c r="AD13" s="37">
        <v>0</v>
      </c>
      <c r="AE13" s="37">
        <v>1</v>
      </c>
      <c r="AF13" s="37">
        <v>1</v>
      </c>
      <c r="AG13" s="37">
        <v>0.127</v>
      </c>
      <c r="AH13" s="37">
        <v>7.1</v>
      </c>
      <c r="AI13" s="37">
        <v>22.64</v>
      </c>
      <c r="AJ13" s="37">
        <v>0.192</v>
      </c>
      <c r="AK13" s="37">
        <v>60</v>
      </c>
      <c r="AL13" s="37">
        <v>0.55000000000000004</v>
      </c>
      <c r="AM13" s="37">
        <v>0.45</v>
      </c>
      <c r="AN13" s="37">
        <v>0</v>
      </c>
      <c r="AO13" s="37">
        <v>0</v>
      </c>
      <c r="AP13" s="37">
        <v>0</v>
      </c>
    </row>
    <row r="14" spans="2:42" ht="17" customHeight="1" x14ac:dyDescent="0.45">
      <c r="B14" s="46" t="str">
        <f>IF('TECHNOLOGY REGISTER'!D15="","",'TECHNOLOGY REGISTER'!D15)</f>
        <v>Oil</v>
      </c>
      <c r="C14" s="36">
        <v>0.1741</v>
      </c>
      <c r="D14" s="36">
        <v>0</v>
      </c>
      <c r="E14" s="36">
        <v>15.77</v>
      </c>
      <c r="F14" s="36">
        <v>0.21199999999999999</v>
      </c>
      <c r="G14" s="36">
        <v>30</v>
      </c>
      <c r="H14" s="36">
        <v>0.63</v>
      </c>
      <c r="I14" s="36">
        <v>0.37</v>
      </c>
      <c r="J14" s="36">
        <v>0.39</v>
      </c>
      <c r="K14" s="36">
        <v>1</v>
      </c>
      <c r="L14" s="36">
        <v>1</v>
      </c>
      <c r="M14" s="36">
        <v>0.1512</v>
      </c>
      <c r="N14" s="36">
        <v>0</v>
      </c>
      <c r="O14" s="36">
        <v>18.54</v>
      </c>
      <c r="P14" s="36">
        <v>0.189</v>
      </c>
      <c r="Q14" s="36">
        <v>30</v>
      </c>
      <c r="R14" s="36">
        <v>0.63</v>
      </c>
      <c r="S14" s="36">
        <v>0.37</v>
      </c>
      <c r="T14" s="36">
        <v>0</v>
      </c>
      <c r="U14" s="36">
        <v>0</v>
      </c>
      <c r="V14" s="36">
        <v>0</v>
      </c>
      <c r="W14" s="36">
        <v>4.6899999999999997E-2</v>
      </c>
      <c r="X14" s="36">
        <v>4.59</v>
      </c>
      <c r="Y14" s="36">
        <v>28.25</v>
      </c>
      <c r="Z14" s="36">
        <v>8.5000000000000006E-2</v>
      </c>
      <c r="AA14" s="36">
        <v>30</v>
      </c>
      <c r="AB14" s="36">
        <v>0.96400000000000008</v>
      </c>
      <c r="AC14" s="36">
        <v>3.5999999999999997E-2</v>
      </c>
      <c r="AD14" s="36">
        <v>0.61</v>
      </c>
      <c r="AE14" s="36">
        <v>1</v>
      </c>
      <c r="AF14" s="36">
        <v>1</v>
      </c>
      <c r="AG14" s="36">
        <v>0.127</v>
      </c>
      <c r="AH14" s="36">
        <v>7.1</v>
      </c>
      <c r="AI14" s="36">
        <v>22.64</v>
      </c>
      <c r="AJ14" s="36">
        <v>0.189</v>
      </c>
      <c r="AK14" s="36">
        <v>30</v>
      </c>
      <c r="AL14" s="36">
        <v>0.55000000000000004</v>
      </c>
      <c r="AM14" s="36">
        <v>0.45</v>
      </c>
      <c r="AN14" s="36">
        <v>0</v>
      </c>
      <c r="AO14" s="36">
        <v>0</v>
      </c>
      <c r="AP14" s="36">
        <v>0</v>
      </c>
    </row>
    <row r="15" spans="2:42" ht="17" customHeight="1" x14ac:dyDescent="0.45">
      <c r="B15" s="45" t="str">
        <f>IF('TECHNOLOGY REGISTER'!D16="","",'TECHNOLOGY REGISTER'!D16)</f>
        <v>Gas</v>
      </c>
      <c r="C15" s="37"/>
      <c r="D15" s="37"/>
      <c r="E15" s="37"/>
      <c r="F15" s="37"/>
      <c r="G15" s="37"/>
      <c r="H15" s="37"/>
      <c r="I15" s="37"/>
      <c r="J15" s="37">
        <v>0</v>
      </c>
      <c r="K15" s="37"/>
      <c r="L15" s="37"/>
      <c r="M15" s="37"/>
      <c r="N15" s="37"/>
      <c r="O15" s="37"/>
      <c r="P15" s="37"/>
      <c r="Q15" s="37"/>
      <c r="R15" s="37"/>
      <c r="S15" s="37"/>
      <c r="T15" s="37">
        <v>0</v>
      </c>
      <c r="U15" s="37"/>
      <c r="V15" s="37"/>
      <c r="W15" s="37"/>
      <c r="X15" s="37"/>
      <c r="Y15" s="37"/>
      <c r="Z15" s="37"/>
      <c r="AA15" s="37"/>
      <c r="AB15" s="37">
        <v>1</v>
      </c>
      <c r="AC15" s="37">
        <v>1</v>
      </c>
      <c r="AD15" s="37">
        <v>0</v>
      </c>
      <c r="AE15" s="37"/>
      <c r="AF15" s="37"/>
      <c r="AG15" s="37"/>
      <c r="AH15" s="37"/>
      <c r="AI15" s="37"/>
      <c r="AJ15" s="37"/>
      <c r="AK15" s="37"/>
      <c r="AL15" s="37"/>
      <c r="AM15" s="37"/>
      <c r="AN15" s="37">
        <v>0</v>
      </c>
      <c r="AO15" s="37"/>
      <c r="AP15" s="37"/>
    </row>
    <row r="16" spans="2:42" ht="17" customHeight="1" x14ac:dyDescent="0.45">
      <c r="B16" s="46" t="str">
        <f>IF('TECHNOLOGY REGISTER'!D17="","",'TECHNOLOGY REGISTER'!D17)</f>
        <v>Transmission</v>
      </c>
      <c r="C16" s="36">
        <v>0.1762</v>
      </c>
      <c r="D16" s="36">
        <v>0</v>
      </c>
      <c r="E16" s="36">
        <v>15.77</v>
      </c>
      <c r="F16" s="36">
        <v>0.214</v>
      </c>
      <c r="G16" s="36">
        <v>50</v>
      </c>
      <c r="H16" s="36">
        <v>0.63</v>
      </c>
      <c r="I16" s="36">
        <v>0.37</v>
      </c>
      <c r="J16" s="36">
        <v>0.375</v>
      </c>
      <c r="K16" s="36">
        <v>1</v>
      </c>
      <c r="L16" s="36">
        <v>1</v>
      </c>
      <c r="M16" s="36">
        <v>0.153</v>
      </c>
      <c r="N16" s="36">
        <v>0</v>
      </c>
      <c r="O16" s="36">
        <v>18.54</v>
      </c>
      <c r="P16" s="36">
        <v>0.192</v>
      </c>
      <c r="Q16" s="36">
        <v>50</v>
      </c>
      <c r="R16" s="36">
        <v>0.63</v>
      </c>
      <c r="S16" s="36">
        <v>0.37</v>
      </c>
      <c r="T16" s="36">
        <v>0.19700000000000001</v>
      </c>
      <c r="U16" s="36">
        <v>0</v>
      </c>
      <c r="V16" s="36">
        <v>0</v>
      </c>
      <c r="W16" s="36">
        <v>4.6899999999999997E-2</v>
      </c>
      <c r="X16" s="36">
        <v>4.59</v>
      </c>
      <c r="Y16" s="36">
        <v>28.25</v>
      </c>
      <c r="Z16" s="36">
        <v>8.5000000000000006E-2</v>
      </c>
      <c r="AA16" s="36">
        <v>50</v>
      </c>
      <c r="AB16" s="36">
        <v>0.96400000000000008</v>
      </c>
      <c r="AC16" s="36">
        <v>3.5999999999999997E-2</v>
      </c>
      <c r="AD16" s="36">
        <v>0.247</v>
      </c>
      <c r="AE16" s="36">
        <v>1</v>
      </c>
      <c r="AF16" s="36">
        <v>1</v>
      </c>
      <c r="AG16" s="36">
        <v>0.127</v>
      </c>
      <c r="AH16" s="36">
        <v>7.1</v>
      </c>
      <c r="AI16" s="36">
        <v>22.64</v>
      </c>
      <c r="AJ16" s="36">
        <v>0.192</v>
      </c>
      <c r="AK16" s="36">
        <v>50</v>
      </c>
      <c r="AL16" s="36">
        <v>0.55000000000000004</v>
      </c>
      <c r="AM16" s="36">
        <v>0.45</v>
      </c>
      <c r="AN16" s="36">
        <v>0.18</v>
      </c>
      <c r="AO16" s="36">
        <v>0</v>
      </c>
      <c r="AP16" s="36">
        <v>0</v>
      </c>
    </row>
    <row r="17" spans="2:42" ht="17" customHeight="1" x14ac:dyDescent="0.45">
      <c r="B17" s="45" t="str">
        <f>IF('TECHNOLOGY REGISTER'!D18="","",'TECHNOLOGY REGISTER'!D18)</f>
        <v>Distribution</v>
      </c>
      <c r="C17" s="37">
        <v>0.1762</v>
      </c>
      <c r="D17" s="37">
        <v>0</v>
      </c>
      <c r="E17" s="37">
        <v>15.77</v>
      </c>
      <c r="F17" s="37">
        <v>0.214</v>
      </c>
      <c r="G17" s="37">
        <v>70</v>
      </c>
      <c r="H17" s="37">
        <v>0.63</v>
      </c>
      <c r="I17" s="37">
        <v>0.37</v>
      </c>
      <c r="J17" s="37">
        <v>0.64599999999999991</v>
      </c>
      <c r="K17" s="37">
        <v>1</v>
      </c>
      <c r="L17" s="37">
        <v>1</v>
      </c>
      <c r="M17" s="37">
        <v>0.153</v>
      </c>
      <c r="N17" s="37">
        <v>0</v>
      </c>
      <c r="O17" s="37">
        <v>18.54</v>
      </c>
      <c r="P17" s="37">
        <v>0.192</v>
      </c>
      <c r="Q17" s="37">
        <v>70</v>
      </c>
      <c r="R17" s="37">
        <v>0.63</v>
      </c>
      <c r="S17" s="37">
        <v>0.37</v>
      </c>
      <c r="T17" s="37">
        <v>0</v>
      </c>
      <c r="U17" s="37">
        <v>0</v>
      </c>
      <c r="V17" s="37">
        <v>0</v>
      </c>
      <c r="W17" s="37">
        <v>4.6899999999999997E-2</v>
      </c>
      <c r="X17" s="37">
        <v>4.59</v>
      </c>
      <c r="Y17" s="37">
        <v>28.25</v>
      </c>
      <c r="Z17" s="37">
        <v>8.5000000000000006E-2</v>
      </c>
      <c r="AA17" s="37">
        <v>70</v>
      </c>
      <c r="AB17" s="37">
        <v>0.96400000000000008</v>
      </c>
      <c r="AC17" s="37">
        <v>3.5999999999999997E-2</v>
      </c>
      <c r="AD17" s="37">
        <v>0.22700000000000001</v>
      </c>
      <c r="AE17" s="37">
        <v>1</v>
      </c>
      <c r="AF17" s="37">
        <v>1</v>
      </c>
      <c r="AG17" s="37">
        <v>0.127</v>
      </c>
      <c r="AH17" s="37">
        <v>7.1</v>
      </c>
      <c r="AI17" s="37">
        <v>22.64</v>
      </c>
      <c r="AJ17" s="37">
        <v>0.192</v>
      </c>
      <c r="AK17" s="37">
        <v>70</v>
      </c>
      <c r="AL17" s="37">
        <v>0.55000000000000004</v>
      </c>
      <c r="AM17" s="37">
        <v>0.45</v>
      </c>
      <c r="AN17" s="37">
        <v>0.127</v>
      </c>
      <c r="AO17" s="37">
        <v>0</v>
      </c>
      <c r="AP17" s="37">
        <v>0</v>
      </c>
    </row>
    <row r="18" spans="2:42" x14ac:dyDescent="0.45">
      <c r="B18" s="46" t="str">
        <f>IF('TECHNOLOGY REGISTER'!D19="","",'TECHNOLOGY REGISTER'!D19)</f>
        <v>Imports</v>
      </c>
      <c r="C18" s="36">
        <v>0.1762</v>
      </c>
      <c r="D18" s="36">
        <v>0</v>
      </c>
      <c r="E18" s="36">
        <v>15.77</v>
      </c>
      <c r="F18" s="36">
        <v>0.214</v>
      </c>
      <c r="G18" s="36">
        <v>90</v>
      </c>
      <c r="H18" s="36">
        <v>0.63</v>
      </c>
      <c r="I18" s="36">
        <v>0.37</v>
      </c>
      <c r="J18" s="36">
        <v>0.91700000000000004</v>
      </c>
      <c r="K18" s="36">
        <v>1</v>
      </c>
      <c r="L18" s="36">
        <v>1</v>
      </c>
      <c r="M18" s="36">
        <v>0.153</v>
      </c>
      <c r="N18" s="36">
        <v>0</v>
      </c>
      <c r="O18" s="36">
        <v>18.54</v>
      </c>
      <c r="P18" s="36">
        <v>0.192</v>
      </c>
      <c r="Q18" s="36">
        <v>90</v>
      </c>
      <c r="R18" s="36">
        <v>0.63</v>
      </c>
      <c r="S18" s="36">
        <v>0.37</v>
      </c>
      <c r="T18" s="36">
        <v>-0.19700000000000001</v>
      </c>
      <c r="U18" s="36">
        <v>0</v>
      </c>
      <c r="V18" s="36">
        <v>0</v>
      </c>
      <c r="W18" s="36">
        <v>4.6899999999999997E-2</v>
      </c>
      <c r="X18" s="36">
        <v>4.59</v>
      </c>
      <c r="Y18" s="36">
        <v>28.25</v>
      </c>
      <c r="Z18" s="36">
        <v>8.5000000000000006E-2</v>
      </c>
      <c r="AA18" s="36">
        <v>90</v>
      </c>
      <c r="AB18" s="36">
        <v>0.96399999999999997</v>
      </c>
      <c r="AC18" s="36">
        <v>3.5999999999999997E-2</v>
      </c>
      <c r="AD18" s="36">
        <v>0.20699999999999999</v>
      </c>
      <c r="AE18" s="36">
        <v>1</v>
      </c>
      <c r="AF18" s="36">
        <v>1</v>
      </c>
      <c r="AG18" s="36">
        <v>0.127</v>
      </c>
      <c r="AH18" s="36">
        <v>7.1</v>
      </c>
      <c r="AI18" s="36">
        <v>22.64</v>
      </c>
      <c r="AJ18" s="36">
        <v>0.192</v>
      </c>
      <c r="AK18" s="36">
        <v>90</v>
      </c>
      <c r="AL18" s="36">
        <v>0.55000000000000004</v>
      </c>
      <c r="AM18" s="36">
        <v>0.45</v>
      </c>
      <c r="AN18" s="36">
        <v>7.3999999999999996E-2</v>
      </c>
      <c r="AO18" s="36">
        <v>0</v>
      </c>
      <c r="AP18" s="36">
        <v>0</v>
      </c>
    </row>
    <row r="19" spans="2:42" x14ac:dyDescent="0.45">
      <c r="B19" s="45" t="str">
        <f>IF('TECHNOLOGY REGISTER'!D20="","",'TECHNOLOGY REGISTER'!D20)</f>
        <v>Energy Exports</v>
      </c>
      <c r="C19" s="37">
        <v>0.1762</v>
      </c>
      <c r="D19" s="37">
        <v>0</v>
      </c>
      <c r="E19" s="37">
        <v>15.77</v>
      </c>
      <c r="F19" s="37">
        <v>0.214</v>
      </c>
      <c r="G19" s="37">
        <v>110</v>
      </c>
      <c r="H19" s="37">
        <v>0.63</v>
      </c>
      <c r="I19" s="37">
        <v>0.37</v>
      </c>
      <c r="J19" s="37">
        <v>1.1879999999999999</v>
      </c>
      <c r="K19" s="37">
        <v>1</v>
      </c>
      <c r="L19" s="37">
        <v>1</v>
      </c>
      <c r="M19" s="37">
        <v>0.153</v>
      </c>
      <c r="N19" s="37">
        <v>0</v>
      </c>
      <c r="O19" s="37">
        <v>18.54</v>
      </c>
      <c r="P19" s="37">
        <v>0.192</v>
      </c>
      <c r="Q19" s="37">
        <v>110</v>
      </c>
      <c r="R19" s="37">
        <v>0.63</v>
      </c>
      <c r="S19" s="37">
        <v>0.37</v>
      </c>
      <c r="T19" s="37">
        <v>-0.39400000000000002</v>
      </c>
      <c r="U19" s="37">
        <v>0</v>
      </c>
      <c r="V19" s="37">
        <v>0</v>
      </c>
      <c r="W19" s="37">
        <v>4.6899999999999997E-2</v>
      </c>
      <c r="X19" s="37">
        <v>4.59</v>
      </c>
      <c r="Y19" s="37">
        <v>28.25</v>
      </c>
      <c r="Z19" s="37">
        <v>8.5000000000000006E-2</v>
      </c>
      <c r="AA19" s="37">
        <v>110</v>
      </c>
      <c r="AB19" s="37">
        <v>0.96399999999999997</v>
      </c>
      <c r="AC19" s="37">
        <v>3.5999999999999997E-2</v>
      </c>
      <c r="AD19" s="37">
        <v>0.187</v>
      </c>
      <c r="AE19" s="37">
        <v>1</v>
      </c>
      <c r="AF19" s="37">
        <v>1</v>
      </c>
      <c r="AG19" s="37">
        <v>0.127</v>
      </c>
      <c r="AH19" s="37">
        <v>7.1</v>
      </c>
      <c r="AI19" s="37">
        <v>22.64</v>
      </c>
      <c r="AJ19" s="37">
        <v>0.192</v>
      </c>
      <c r="AK19" s="37">
        <v>110</v>
      </c>
      <c r="AL19" s="37">
        <v>0.55000000000000004</v>
      </c>
      <c r="AM19" s="37">
        <v>0.45</v>
      </c>
      <c r="AN19" s="37">
        <v>2.1000000000000001E-2</v>
      </c>
      <c r="AO19" s="37">
        <v>0</v>
      </c>
      <c r="AP19" s="37">
        <v>0</v>
      </c>
    </row>
    <row r="20" spans="2:42" x14ac:dyDescent="0.45">
      <c r="B20" s="46" t="str">
        <f>IF('TECHNOLOGY REGISTER'!D21="","",'TECHNOLOGY REGISTER'!D21)</f>
        <v>Direct Solar</v>
      </c>
      <c r="C20" s="36">
        <v>0.1762</v>
      </c>
      <c r="D20" s="36">
        <v>0</v>
      </c>
      <c r="E20" s="36">
        <v>15.77</v>
      </c>
      <c r="F20" s="36">
        <v>0.214</v>
      </c>
      <c r="G20" s="36">
        <v>130</v>
      </c>
      <c r="H20" s="36">
        <v>0.63</v>
      </c>
      <c r="I20" s="36">
        <v>0.37</v>
      </c>
      <c r="J20" s="36">
        <v>1.4590000000000001</v>
      </c>
      <c r="K20" s="36">
        <v>1</v>
      </c>
      <c r="L20" s="36">
        <v>1</v>
      </c>
      <c r="M20" s="36">
        <v>0.153</v>
      </c>
      <c r="N20" s="36">
        <v>0</v>
      </c>
      <c r="O20" s="36">
        <v>18.54</v>
      </c>
      <c r="P20" s="36">
        <v>0.192</v>
      </c>
      <c r="Q20" s="36">
        <v>130</v>
      </c>
      <c r="R20" s="36">
        <v>0.63</v>
      </c>
      <c r="S20" s="36">
        <v>0.37</v>
      </c>
      <c r="T20" s="36">
        <v>-0.59099999999999997</v>
      </c>
      <c r="U20" s="36">
        <v>0</v>
      </c>
      <c r="V20" s="36">
        <v>0</v>
      </c>
      <c r="W20" s="36">
        <v>4.6899999999999997E-2</v>
      </c>
      <c r="X20" s="36">
        <v>4.59</v>
      </c>
      <c r="Y20" s="36">
        <v>28.25</v>
      </c>
      <c r="Z20" s="36">
        <v>8.5000000000000006E-2</v>
      </c>
      <c r="AA20" s="36">
        <v>130</v>
      </c>
      <c r="AB20" s="36">
        <v>0.96399999999999997</v>
      </c>
      <c r="AC20" s="36">
        <v>3.5999999999999997E-2</v>
      </c>
      <c r="AD20" s="36">
        <v>0.16700000000000001</v>
      </c>
      <c r="AE20" s="36">
        <v>1</v>
      </c>
      <c r="AF20" s="36">
        <v>1</v>
      </c>
      <c r="AG20" s="36">
        <v>0.127</v>
      </c>
      <c r="AH20" s="36">
        <v>7.1</v>
      </c>
      <c r="AI20" s="36">
        <v>22.64</v>
      </c>
      <c r="AJ20" s="36">
        <v>0.192</v>
      </c>
      <c r="AK20" s="36">
        <v>130</v>
      </c>
      <c r="AL20" s="36">
        <v>0.55000000000000004</v>
      </c>
      <c r="AM20" s="36">
        <v>0.45</v>
      </c>
      <c r="AN20" s="36">
        <v>-3.2000000000000001E-2</v>
      </c>
      <c r="AO20" s="36">
        <v>0</v>
      </c>
      <c r="AP20" s="36">
        <v>0</v>
      </c>
    </row>
    <row r="21" spans="2:42" x14ac:dyDescent="0.45">
      <c r="B21" s="45" t="str">
        <f>IF('TECHNOLOGY REGISTER'!D22="","",'TECHNOLOGY REGISTER'!D22)</f>
        <v>Direct Oil</v>
      </c>
      <c r="C21" s="37">
        <v>0.1762</v>
      </c>
      <c r="D21" s="37">
        <v>0</v>
      </c>
      <c r="E21" s="37">
        <v>15.77</v>
      </c>
      <c r="F21" s="37">
        <v>0.214</v>
      </c>
      <c r="G21" s="37">
        <v>150</v>
      </c>
      <c r="H21" s="37">
        <v>0.63</v>
      </c>
      <c r="I21" s="37">
        <v>0.37</v>
      </c>
      <c r="J21" s="37">
        <v>1.73</v>
      </c>
      <c r="K21" s="37">
        <v>1</v>
      </c>
      <c r="L21" s="37">
        <v>1</v>
      </c>
      <c r="M21" s="37">
        <v>0.153</v>
      </c>
      <c r="N21" s="37">
        <v>0</v>
      </c>
      <c r="O21" s="37">
        <v>18.54</v>
      </c>
      <c r="P21" s="37">
        <v>0.192</v>
      </c>
      <c r="Q21" s="37">
        <v>150</v>
      </c>
      <c r="R21" s="37">
        <v>0.63</v>
      </c>
      <c r="S21" s="37">
        <v>0.37</v>
      </c>
      <c r="T21" s="37">
        <v>-0.78800000000000003</v>
      </c>
      <c r="U21" s="37">
        <v>0</v>
      </c>
      <c r="V21" s="37">
        <v>0</v>
      </c>
      <c r="W21" s="37">
        <v>4.6899999999999997E-2</v>
      </c>
      <c r="X21" s="37">
        <v>4.59</v>
      </c>
      <c r="Y21" s="37">
        <v>28.25</v>
      </c>
      <c r="Z21" s="37">
        <v>8.5000000000000006E-2</v>
      </c>
      <c r="AA21" s="37">
        <v>150</v>
      </c>
      <c r="AB21" s="37">
        <v>0.96399999999999997</v>
      </c>
      <c r="AC21" s="37">
        <v>3.5999999999999997E-2</v>
      </c>
      <c r="AD21" s="37">
        <v>0.14699999999999999</v>
      </c>
      <c r="AE21" s="37">
        <v>1</v>
      </c>
      <c r="AF21" s="37">
        <v>1</v>
      </c>
      <c r="AG21" s="37">
        <v>0.127</v>
      </c>
      <c r="AH21" s="37">
        <v>7.1</v>
      </c>
      <c r="AI21" s="37">
        <v>22.64</v>
      </c>
      <c r="AJ21" s="37">
        <v>0.192</v>
      </c>
      <c r="AK21" s="37">
        <v>150</v>
      </c>
      <c r="AL21" s="37">
        <v>0.55000000000000004</v>
      </c>
      <c r="AM21" s="37">
        <v>0.45</v>
      </c>
      <c r="AN21" s="37">
        <v>-8.5000000000000006E-2</v>
      </c>
      <c r="AO21" s="37">
        <v>0</v>
      </c>
      <c r="AP21" s="37">
        <v>0</v>
      </c>
    </row>
    <row r="22" spans="2:42" x14ac:dyDescent="0.45">
      <c r="B22" s="46" t="str">
        <f>IF('TECHNOLOGY REGISTER'!D23="","",'TECHNOLOGY REGISTER'!D23)</f>
        <v>Direct Hydro</v>
      </c>
      <c r="C22" s="36">
        <v>0.1762</v>
      </c>
      <c r="D22" s="36">
        <v>0</v>
      </c>
      <c r="E22" s="36">
        <v>15.77</v>
      </c>
      <c r="F22" s="36">
        <v>0.214</v>
      </c>
      <c r="G22" s="36">
        <v>170</v>
      </c>
      <c r="H22" s="36">
        <v>0.63</v>
      </c>
      <c r="I22" s="36">
        <v>0.37</v>
      </c>
      <c r="J22" s="36">
        <v>2.0009999999999999</v>
      </c>
      <c r="K22" s="36">
        <v>1</v>
      </c>
      <c r="L22" s="36">
        <v>1</v>
      </c>
      <c r="M22" s="36">
        <v>0.153</v>
      </c>
      <c r="N22" s="36">
        <v>0</v>
      </c>
      <c r="O22" s="36">
        <v>18.54</v>
      </c>
      <c r="P22" s="36">
        <v>0.192</v>
      </c>
      <c r="Q22" s="36">
        <v>170</v>
      </c>
      <c r="R22" s="36">
        <v>0.63</v>
      </c>
      <c r="S22" s="36">
        <v>0.37</v>
      </c>
      <c r="T22" s="36">
        <v>-0.98499999999999999</v>
      </c>
      <c r="U22" s="36">
        <v>0</v>
      </c>
      <c r="V22" s="36">
        <v>0</v>
      </c>
      <c r="W22" s="36">
        <v>4.6899999999999997E-2</v>
      </c>
      <c r="X22" s="36">
        <v>4.59</v>
      </c>
      <c r="Y22" s="36">
        <v>28.25</v>
      </c>
      <c r="Z22" s="36">
        <v>8.5000000000000006E-2</v>
      </c>
      <c r="AA22" s="36">
        <v>170</v>
      </c>
      <c r="AB22" s="36">
        <v>0.96399999999999997</v>
      </c>
      <c r="AC22" s="36">
        <v>3.5999999999999997E-2</v>
      </c>
      <c r="AD22" s="36">
        <v>0.127</v>
      </c>
      <c r="AE22" s="36">
        <v>1</v>
      </c>
      <c r="AF22" s="36">
        <v>1</v>
      </c>
      <c r="AG22" s="36">
        <v>0.127</v>
      </c>
      <c r="AH22" s="36">
        <v>7.1</v>
      </c>
      <c r="AI22" s="36">
        <v>22.64</v>
      </c>
      <c r="AJ22" s="36">
        <v>0.192</v>
      </c>
      <c r="AK22" s="36">
        <v>170</v>
      </c>
      <c r="AL22" s="36">
        <v>0.55000000000000004</v>
      </c>
      <c r="AM22" s="36">
        <v>0.45</v>
      </c>
      <c r="AN22" s="36">
        <v>-0.13800000000000001</v>
      </c>
      <c r="AO22" s="36">
        <v>0</v>
      </c>
      <c r="AP22" s="36">
        <v>0</v>
      </c>
    </row>
    <row r="23" spans="2:42" x14ac:dyDescent="0.45">
      <c r="B23" s="45" t="str">
        <f>IF('TECHNOLOGY REGISTER'!D24="","",'TECHNOLOGY REGISTER'!D24)</f>
        <v/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</row>
    <row r="24" spans="2:42" x14ac:dyDescent="0.45">
      <c r="B24" s="46" t="str">
        <f>IF('TECHNOLOGY REGISTER'!D25="","",'TECHNOLOGY REGISTER'!D25)</f>
        <v/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</row>
    <row r="25" spans="2:42" x14ac:dyDescent="0.45">
      <c r="B25" s="45" t="str">
        <f>IF('TECHNOLOGY REGISTER'!D26="","",'TECHNOLOGY REGISTER'!D26)</f>
        <v/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</row>
    <row r="26" spans="2:42" x14ac:dyDescent="0.45">
      <c r="B26" s="46" t="str">
        <f>IF('TECHNOLOGY REGISTER'!D27="","",'TECHNOLOGY REGISTER'!D27)</f>
        <v/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</row>
    <row r="27" spans="2:42" x14ac:dyDescent="0.45">
      <c r="B27" s="45" t="str">
        <f>IF('TECHNOLOGY REGISTER'!D28="","",'TECHNOLOGY REGISTER'!D28)</f>
        <v/>
      </c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</row>
    <row r="28" spans="2:42" x14ac:dyDescent="0.45">
      <c r="B28" s="46" t="str">
        <f>IF('TECHNOLOGY REGISTER'!D29="","",'TECHNOLOGY REGISTER'!D29)</f>
        <v/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</row>
    <row r="29" spans="2:42" x14ac:dyDescent="0.45">
      <c r="B29" s="45" t="str">
        <f>IF('TECHNOLOGY REGISTER'!D30="","",'TECHNOLOGY REGISTER'!D30)</f>
        <v/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</row>
    <row r="30" spans="2:42" x14ac:dyDescent="0.45">
      <c r="B30" s="46" t="str">
        <f>IF('TECHNOLOGY REGISTER'!D31="","",'TECHNOLOGY REGISTER'!D31)</f>
        <v/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</row>
    <row r="31" spans="2:42" x14ac:dyDescent="0.45">
      <c r="B31" s="45" t="str">
        <f>IF('TECHNOLOGY REGISTER'!D32="","",'TECHNOLOGY REGISTER'!D32)</f>
        <v/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</row>
    <row r="32" spans="2:42" x14ac:dyDescent="0.45">
      <c r="B32" s="46" t="str">
        <f>IF('TECHNOLOGY REGISTER'!D33="","",'TECHNOLOGY REGISTER'!D33)</f>
        <v/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</row>
    <row r="33" spans="2:42" x14ac:dyDescent="0.45">
      <c r="B33" s="45" t="str">
        <f>IF('TECHNOLOGY REGISTER'!D34="","",'TECHNOLOGY REGISTER'!D34)</f>
        <v/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</row>
    <row r="34" spans="2:42" x14ac:dyDescent="0.45">
      <c r="B34" s="46" t="str">
        <f>IF('TECHNOLOGY REGISTER'!D35="","",'TECHNOLOGY REGISTER'!D35)</f>
        <v/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</row>
    <row r="35" spans="2:42" x14ac:dyDescent="0.45">
      <c r="B35" s="45" t="str">
        <f>IF('TECHNOLOGY REGISTER'!D36="","",'TECHNOLOGY REGISTER'!D36)</f>
        <v/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</row>
    <row r="36" spans="2:42" x14ac:dyDescent="0.45">
      <c r="B36" s="46" t="str">
        <f>IF('TECHNOLOGY REGISTER'!D37="","",'TECHNOLOGY REGISTER'!D37)</f>
        <v/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</row>
    <row r="37" spans="2:42" x14ac:dyDescent="0.45">
      <c r="B37" s="45" t="str">
        <f>IF('TECHNOLOGY REGISTER'!D38="","",'TECHNOLOGY REGISTER'!D38)</f>
        <v/>
      </c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</row>
    <row r="38" spans="2:42" x14ac:dyDescent="0.45">
      <c r="B38" s="46" t="str">
        <f>IF('TECHNOLOGY REGISTER'!D39="","",'TECHNOLOGY REGISTER'!D39)</f>
        <v/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</row>
    <row r="39" spans="2:42" x14ac:dyDescent="0.45">
      <c r="B39" s="45" t="str">
        <f>IF('TECHNOLOGY REGISTER'!D40="","",'TECHNOLOGY REGISTER'!D40)</f>
        <v/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</row>
    <row r="40" spans="2:42" x14ac:dyDescent="0.45">
      <c r="B40" s="46" t="str">
        <f>IF('TECHNOLOGY REGISTER'!D41="","",'TECHNOLOGY REGISTER'!D41)</f>
        <v/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</row>
    <row r="41" spans="2:42" x14ac:dyDescent="0.45">
      <c r="B41" s="45" t="str">
        <f>IF('TECHNOLOGY REGISTER'!D42="","",'TECHNOLOGY REGISTER'!D42)</f>
        <v/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</row>
    <row r="42" spans="2:42" x14ac:dyDescent="0.45">
      <c r="B42" s="46" t="str">
        <f>IF('TECHNOLOGY REGISTER'!D43="","",'TECHNOLOGY REGISTER'!D43)</f>
        <v/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</row>
    <row r="43" spans="2:42" x14ac:dyDescent="0.45">
      <c r="B43" s="45" t="str">
        <f>IF('TECHNOLOGY REGISTER'!D44="","",'TECHNOLOGY REGISTER'!D44)</f>
        <v/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</row>
    <row r="44" spans="2:42" x14ac:dyDescent="0.45">
      <c r="B44" s="46" t="str">
        <f>IF('TECHNOLOGY REGISTER'!D45="","",'TECHNOLOGY REGISTER'!D45)</f>
        <v/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</row>
    <row r="45" spans="2:42" x14ac:dyDescent="0.45">
      <c r="B45" s="45" t="str">
        <f>IF('TECHNOLOGY REGISTER'!D46="","",'TECHNOLOGY REGISTER'!D46)</f>
        <v/>
      </c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</row>
    <row r="46" spans="2:42" x14ac:dyDescent="0.45">
      <c r="B46" s="46" t="str">
        <f>IF('TECHNOLOGY REGISTER'!D47="","",'TECHNOLOGY REGISTER'!D47)</f>
        <v/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</row>
    <row r="47" spans="2:42" x14ac:dyDescent="0.45">
      <c r="B47" s="45" t="str">
        <f>IF('TECHNOLOGY REGISTER'!D48="","",'TECHNOLOGY REGISTER'!D48)</f>
        <v/>
      </c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</row>
    <row r="48" spans="2:42" x14ac:dyDescent="0.45">
      <c r="B48" s="46" t="str">
        <f>IF('TECHNOLOGY REGISTER'!D49="","",'TECHNOLOGY REGISTER'!D49)</f>
        <v/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</row>
    <row r="49" spans="2:42" x14ac:dyDescent="0.45">
      <c r="B49" s="45" t="str">
        <f>IF('TECHNOLOGY REGISTER'!D50="","",'TECHNOLOGY REGISTER'!D50)</f>
        <v/>
      </c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</row>
    <row r="50" spans="2:42" x14ac:dyDescent="0.45">
      <c r="B50" s="46" t="str">
        <f>IF('TECHNOLOGY REGISTER'!D51="","",'TECHNOLOGY REGISTER'!D51)</f>
        <v/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</row>
    <row r="51" spans="2:42" x14ac:dyDescent="0.45">
      <c r="B51" s="45" t="str">
        <f>IF('TECHNOLOGY REGISTER'!D52="","",'TECHNOLOGY REGISTER'!D52)</f>
        <v/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</row>
    <row r="52" spans="2:42" x14ac:dyDescent="0.45">
      <c r="B52" s="46" t="str">
        <f>IF('TECHNOLOGY REGISTER'!D53="","",'TECHNOLOGY REGISTER'!D53)</f>
        <v/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</row>
    <row r="53" spans="2:42" x14ac:dyDescent="0.45">
      <c r="B53" s="45" t="str">
        <f>IF('TECHNOLOGY REGISTER'!D54="","",'TECHNOLOGY REGISTER'!D54)</f>
        <v/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</row>
    <row r="54" spans="2:42" x14ac:dyDescent="0.45">
      <c r="B54" s="46" t="str">
        <f>IF('TECHNOLOGY REGISTER'!D55="","",'TECHNOLOGY REGISTER'!D55)</f>
        <v/>
      </c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</row>
    <row r="55" spans="2:42" x14ac:dyDescent="0.45">
      <c r="B55" s="45" t="str">
        <f>IF('TECHNOLOGY REGISTER'!D56="","",'TECHNOLOGY REGISTER'!D56)</f>
        <v/>
      </c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</row>
  </sheetData>
  <mergeCells count="22">
    <mergeCell ref="W4:Y4"/>
    <mergeCell ref="B1:AP1"/>
    <mergeCell ref="B3:B5"/>
    <mergeCell ref="C3:L3"/>
    <mergeCell ref="M3:V3"/>
    <mergeCell ref="W3:AF3"/>
    <mergeCell ref="AG3:AP3"/>
    <mergeCell ref="C4:E4"/>
    <mergeCell ref="F4:G4"/>
    <mergeCell ref="H4:J4"/>
    <mergeCell ref="K4:L4"/>
    <mergeCell ref="M4:O4"/>
    <mergeCell ref="P4:Q4"/>
    <mergeCell ref="R4:T4"/>
    <mergeCell ref="U4:V4"/>
    <mergeCell ref="AO4:AP4"/>
    <mergeCell ref="AL4:AN4"/>
    <mergeCell ref="Z4:AA4"/>
    <mergeCell ref="AB4:AD4"/>
    <mergeCell ref="AE4:AF4"/>
    <mergeCell ref="AG4:AI4"/>
    <mergeCell ref="AJ4:AK4"/>
  </mergeCells>
  <hyperlinks>
    <hyperlink ref="B2" location="COVER!A1" display="← Return to COVER" xr:uid="{B241EAA2-14E7-E844-BBC8-B16BDB088EA6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4969-DD48-2B4E-A446-51755513EA16}">
  <sheetPr>
    <tabColor theme="6"/>
  </sheetPr>
  <dimension ref="B1:AZ463"/>
  <sheetViews>
    <sheetView showGridLines="0" tabSelected="1" zoomScale="161" zoomScaleNormal="70" workbookViewId="0">
      <pane xSplit="4" ySplit="4" topLeftCell="AQ160" activePane="bottomRight" state="frozen"/>
      <selection pane="topRight"/>
      <selection pane="bottomLeft"/>
      <selection pane="bottomRight" activeCell="AX70" sqref="AX70"/>
    </sheetView>
  </sheetViews>
  <sheetFormatPr defaultColWidth="8.8125" defaultRowHeight="14.25" x14ac:dyDescent="0.45"/>
  <cols>
    <col min="1" max="1" width="3" style="15" customWidth="1"/>
    <col min="2" max="2" width="26.1875" style="15" bestFit="1" customWidth="1"/>
    <col min="3" max="3" width="13" style="15" customWidth="1"/>
    <col min="4" max="4" width="10" style="15" bestFit="1" customWidth="1"/>
    <col min="5" max="5" width="10" style="15" customWidth="1"/>
    <col min="6" max="6" width="12.6875" style="15" bestFit="1" customWidth="1"/>
    <col min="7" max="52" width="8" style="15" customWidth="1"/>
    <col min="53" max="16384" width="8.8125" style="15"/>
  </cols>
  <sheetData>
    <row r="1" spans="2:52" ht="36" customHeight="1" x14ac:dyDescent="0.45">
      <c r="B1" s="70" t="s">
        <v>182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</row>
    <row r="2" spans="2:52" ht="14" customHeight="1" x14ac:dyDescent="0.45">
      <c r="B2" s="52" t="s">
        <v>94</v>
      </c>
    </row>
    <row r="3" spans="2:52" ht="14" customHeight="1" x14ac:dyDescent="0.45">
      <c r="B3" s="28"/>
    </row>
    <row r="4" spans="2:52" ht="24" customHeight="1" thickBot="1" x14ac:dyDescent="0.5">
      <c r="B4" s="21" t="s">
        <v>72</v>
      </c>
      <c r="C4" s="21" t="s">
        <v>73</v>
      </c>
      <c r="D4" s="21" t="s">
        <v>2</v>
      </c>
      <c r="E4" s="21" t="s">
        <v>43</v>
      </c>
      <c r="F4" s="11" t="s">
        <v>96</v>
      </c>
      <c r="G4" s="20">
        <v>2025</v>
      </c>
      <c r="H4" s="20">
        <v>2026</v>
      </c>
      <c r="I4" s="20">
        <v>2027</v>
      </c>
      <c r="J4" s="20">
        <v>2028</v>
      </c>
      <c r="K4" s="20">
        <v>2029</v>
      </c>
      <c r="L4" s="20">
        <v>2030</v>
      </c>
      <c r="M4" s="20">
        <v>2031</v>
      </c>
      <c r="N4" s="20">
        <v>2032</v>
      </c>
      <c r="O4" s="20">
        <v>2033</v>
      </c>
      <c r="P4" s="20">
        <v>2034</v>
      </c>
      <c r="Q4" s="20">
        <v>2035</v>
      </c>
      <c r="R4" s="20">
        <v>2036</v>
      </c>
      <c r="S4" s="20">
        <v>2037</v>
      </c>
      <c r="T4" s="20">
        <v>2038</v>
      </c>
      <c r="U4" s="20">
        <v>2039</v>
      </c>
      <c r="V4" s="20">
        <v>2040</v>
      </c>
      <c r="W4" s="20">
        <v>2041</v>
      </c>
      <c r="X4" s="20">
        <v>2042</v>
      </c>
      <c r="Y4" s="20">
        <v>2043</v>
      </c>
      <c r="Z4" s="20">
        <v>2044</v>
      </c>
      <c r="AA4" s="20">
        <v>2045</v>
      </c>
      <c r="AB4" s="20">
        <v>2046</v>
      </c>
      <c r="AC4" s="20">
        <v>2047</v>
      </c>
      <c r="AD4" s="20">
        <v>2048</v>
      </c>
      <c r="AE4" s="20">
        <v>2049</v>
      </c>
      <c r="AF4" s="20">
        <v>2050</v>
      </c>
      <c r="AG4" s="20">
        <v>2051</v>
      </c>
      <c r="AH4" s="20">
        <v>2052</v>
      </c>
      <c r="AI4" s="20">
        <v>2053</v>
      </c>
      <c r="AJ4" s="20">
        <v>2054</v>
      </c>
      <c r="AK4" s="20">
        <v>2055</v>
      </c>
      <c r="AL4" s="20">
        <v>2056</v>
      </c>
      <c r="AM4" s="20">
        <v>2057</v>
      </c>
      <c r="AN4" s="20">
        <v>2058</v>
      </c>
      <c r="AO4" s="20">
        <v>2059</v>
      </c>
      <c r="AP4" s="20">
        <v>2060</v>
      </c>
      <c r="AQ4" s="20">
        <v>2061</v>
      </c>
      <c r="AR4" s="20">
        <v>2062</v>
      </c>
      <c r="AS4" s="20">
        <v>2063</v>
      </c>
      <c r="AT4" s="20">
        <v>2064</v>
      </c>
      <c r="AU4" s="20">
        <v>2065</v>
      </c>
      <c r="AV4" s="20">
        <v>2066</v>
      </c>
      <c r="AW4" s="20">
        <v>2067</v>
      </c>
      <c r="AX4" s="20">
        <v>2068</v>
      </c>
      <c r="AY4" s="20">
        <v>2069</v>
      </c>
      <c r="AZ4" s="20">
        <v>2070</v>
      </c>
    </row>
    <row r="5" spans="2:52" customFormat="1" ht="20" customHeight="1" x14ac:dyDescent="0.5">
      <c r="B5" s="69" t="s">
        <v>145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</row>
    <row r="6" spans="2:52" ht="17" customHeight="1" x14ac:dyDescent="0.45">
      <c r="B6" s="33" t="s">
        <v>128</v>
      </c>
      <c r="C6" s="29" t="s">
        <v>5</v>
      </c>
      <c r="D6" s="19" t="str">
        <f>IF('TECHNOLOGY REGISTER'!D7="","",'TECHNOLOGY REGISTER'!D7)</f>
        <v>Biomass</v>
      </c>
      <c r="E6" s="32"/>
      <c r="F6" s="32" t="s">
        <v>129</v>
      </c>
      <c r="G6" s="36">
        <v>130.6389934</v>
      </c>
      <c r="H6" s="36">
        <v>144.0556708</v>
      </c>
      <c r="I6" s="36">
        <v>153.63901180000002</v>
      </c>
      <c r="J6" s="36">
        <v>152.50012200000003</v>
      </c>
      <c r="K6" s="36">
        <v>160.36123940000002</v>
      </c>
      <c r="L6" s="36">
        <v>175.00014000000002</v>
      </c>
      <c r="M6" s="36">
        <v>317.91692100000006</v>
      </c>
      <c r="N6" s="36">
        <v>366.02807060000004</v>
      </c>
      <c r="O6" s="36">
        <v>364.6669584</v>
      </c>
      <c r="P6" s="36">
        <v>477.05593720000002</v>
      </c>
      <c r="Q6" s="36">
        <v>390.47253460000002</v>
      </c>
      <c r="R6" s="36">
        <v>340.50027240000003</v>
      </c>
      <c r="S6" s="36">
        <v>401.38921000000005</v>
      </c>
      <c r="T6" s="36">
        <v>357.22250800000006</v>
      </c>
      <c r="U6" s="36">
        <v>552.69488660000002</v>
      </c>
      <c r="V6" s="36">
        <v>457.11147679999999</v>
      </c>
      <c r="W6" s="36">
        <v>592.50047400000005</v>
      </c>
      <c r="X6" s="36">
        <v>685.25054820000003</v>
      </c>
      <c r="Y6" s="36">
        <v>793.97285740000007</v>
      </c>
      <c r="Z6" s="36">
        <v>936.08408220000001</v>
      </c>
      <c r="AA6" s="36">
        <v>1071.2786348</v>
      </c>
      <c r="AB6" s="36">
        <v>1222.6954226</v>
      </c>
      <c r="AC6" s="36">
        <v>1276.8621326000002</v>
      </c>
      <c r="AD6" s="36">
        <v>1287.2788076000002</v>
      </c>
      <c r="AE6" s="36">
        <v>1383.1399954000001</v>
      </c>
      <c r="AF6" s="36">
        <v>1608.1679532000001</v>
      </c>
      <c r="AG6" s="36">
        <v>1613.5290686000001</v>
      </c>
      <c r="AH6" s="36">
        <v>1682.3346792000002</v>
      </c>
      <c r="AI6" s="36">
        <v>1949.9460044000002</v>
      </c>
      <c r="AJ6" s="36">
        <v>2007.6682728000001</v>
      </c>
      <c r="AK6" s="36">
        <v>2115.8905816000001</v>
      </c>
      <c r="AL6" s="36">
        <v>2292.4185006000002</v>
      </c>
      <c r="AM6" s="36">
        <v>2363.3907796000003</v>
      </c>
      <c r="AN6" s="36">
        <v>2439.9741742000001</v>
      </c>
      <c r="AO6" s="36">
        <v>2513.1964550000002</v>
      </c>
      <c r="AP6" s="36">
        <v>2608.2243088</v>
      </c>
      <c r="AQ6" s="36">
        <v>2696.529935</v>
      </c>
      <c r="AR6" s="36">
        <v>2782.1133368000001</v>
      </c>
      <c r="AS6" s="36">
        <v>2866.0856262000002</v>
      </c>
      <c r="AT6" s="36">
        <v>2952.4745842000002</v>
      </c>
      <c r="AU6" s="36">
        <v>3042.5302118</v>
      </c>
      <c r="AV6" s="36">
        <v>3132.4469504000003</v>
      </c>
      <c r="AW6" s="36">
        <v>3222.3636890000002</v>
      </c>
      <c r="AX6" s="36">
        <v>3316.1693196000001</v>
      </c>
      <c r="AY6" s="36">
        <v>3411.1416177999999</v>
      </c>
      <c r="AZ6" s="36">
        <v>3499.9472444000003</v>
      </c>
    </row>
    <row r="7" spans="2:52" ht="17" customHeight="1" x14ac:dyDescent="0.45">
      <c r="B7" s="8" t="s">
        <v>128</v>
      </c>
      <c r="C7" s="30" t="s">
        <v>5</v>
      </c>
      <c r="D7" s="17" t="str">
        <f>IF('TECHNOLOGY REGISTER'!D8="","",'TECHNOLOGY REGISTER'!D8)</f>
        <v>Geothermal</v>
      </c>
      <c r="E7" s="38"/>
      <c r="F7" s="24" t="s">
        <v>129</v>
      </c>
      <c r="G7" s="37">
        <v>14.888900800000002</v>
      </c>
      <c r="H7" s="37">
        <v>58.694491400000004</v>
      </c>
      <c r="I7" s="37">
        <v>58.694491400000004</v>
      </c>
      <c r="J7" s="37">
        <v>93.694519400000004</v>
      </c>
      <c r="K7" s="37">
        <v>93.694519400000004</v>
      </c>
      <c r="L7" s="37">
        <v>304.80579940000001</v>
      </c>
      <c r="M7" s="37">
        <v>392.36142500000005</v>
      </c>
      <c r="N7" s="37">
        <v>439.66701840000002</v>
      </c>
      <c r="O7" s="37">
        <v>299.16690599999998</v>
      </c>
      <c r="P7" s="37">
        <v>479.0837166</v>
      </c>
      <c r="Q7" s="37">
        <v>480.38927320000005</v>
      </c>
      <c r="R7" s="37">
        <v>480.38927320000005</v>
      </c>
      <c r="S7" s="37">
        <v>480.38927320000005</v>
      </c>
      <c r="T7" s="37">
        <v>480.38927320000005</v>
      </c>
      <c r="U7" s="37">
        <v>480.38927320000005</v>
      </c>
      <c r="V7" s="37">
        <v>480.38927320000005</v>
      </c>
      <c r="W7" s="37">
        <v>480.38927320000005</v>
      </c>
      <c r="X7" s="37">
        <v>480.38927320000005</v>
      </c>
      <c r="Y7" s="37">
        <v>471.63926620000001</v>
      </c>
      <c r="Z7" s="37">
        <v>471.63926620000001</v>
      </c>
      <c r="AA7" s="37">
        <v>471.63926620000001</v>
      </c>
      <c r="AB7" s="37">
        <v>471.63926620000001</v>
      </c>
      <c r="AC7" s="37">
        <v>471.63926620000001</v>
      </c>
      <c r="AD7" s="37">
        <v>471.63926620000001</v>
      </c>
      <c r="AE7" s="37">
        <v>471.63926620000001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37">
        <v>0</v>
      </c>
      <c r="AM7" s="37">
        <v>0</v>
      </c>
      <c r="AN7" s="37">
        <v>0</v>
      </c>
      <c r="AO7" s="37">
        <v>0</v>
      </c>
      <c r="AP7" s="37">
        <v>0</v>
      </c>
      <c r="AQ7" s="37">
        <v>0</v>
      </c>
      <c r="AR7" s="37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0</v>
      </c>
      <c r="AY7" s="37">
        <v>0</v>
      </c>
      <c r="AZ7" s="37">
        <v>0</v>
      </c>
    </row>
    <row r="8" spans="2:52" ht="17" customHeight="1" x14ac:dyDescent="0.45">
      <c r="B8" s="33" t="s">
        <v>128</v>
      </c>
      <c r="C8" s="29" t="s">
        <v>5</v>
      </c>
      <c r="D8" s="19" t="str">
        <f>IF('TECHNOLOGY REGISTER'!D9="","",'TECHNOLOGY REGISTER'!D9)</f>
        <v>Solar PV</v>
      </c>
      <c r="E8" s="32"/>
      <c r="F8" s="32" t="s">
        <v>129</v>
      </c>
      <c r="G8" s="36">
        <v>13922.816693800001</v>
      </c>
      <c r="H8" s="36">
        <v>14345.511476400001</v>
      </c>
      <c r="I8" s="36">
        <v>15144.151004200001</v>
      </c>
      <c r="J8" s="36">
        <v>16023.735041200001</v>
      </c>
      <c r="K8" s="36">
        <v>17013.208055000003</v>
      </c>
      <c r="L8" s="36">
        <v>17970.208820600001</v>
      </c>
      <c r="M8" s="36">
        <v>18892.042891400004</v>
      </c>
      <c r="N8" s="36">
        <v>19961.154857800004</v>
      </c>
      <c r="O8" s="36">
        <v>20996.350130400002</v>
      </c>
      <c r="P8" s="36">
        <v>22135.295486000003</v>
      </c>
      <c r="Q8" s="36">
        <v>23313.213094999999</v>
      </c>
      <c r="R8" s="36">
        <v>24528.575178400002</v>
      </c>
      <c r="S8" s="36">
        <v>25995.965241200003</v>
      </c>
      <c r="T8" s="36">
        <v>27526.466465600002</v>
      </c>
      <c r="U8" s="36">
        <v>29149.551097400003</v>
      </c>
      <c r="V8" s="36">
        <v>30868.858028400002</v>
      </c>
      <c r="W8" s="36">
        <v>32682.331701400002</v>
      </c>
      <c r="X8" s="36">
        <v>34565.555430200002</v>
      </c>
      <c r="Y8" s="36">
        <v>36571.945924200001</v>
      </c>
      <c r="Z8" s="36">
        <v>38691.780953400004</v>
      </c>
      <c r="AA8" s="36">
        <v>40931.004967000001</v>
      </c>
      <c r="AB8" s="36">
        <v>43296.4513038</v>
      </c>
      <c r="AC8" s="36">
        <v>45795.5366364</v>
      </c>
      <c r="AD8" s="36">
        <v>48435.566526200004</v>
      </c>
      <c r="AE8" s="36">
        <v>51224.374312800006</v>
      </c>
      <c r="AF8" s="36">
        <v>54170.2377806</v>
      </c>
      <c r="AG8" s="36">
        <v>56444.767378000004</v>
      </c>
      <c r="AH8" s="36">
        <v>58719.269197599999</v>
      </c>
      <c r="AI8" s="36">
        <v>60993.798795000002</v>
      </c>
      <c r="AJ8" s="36">
        <v>63268.328392400006</v>
      </c>
      <c r="AK8" s="36">
        <v>65542.830212000001</v>
      </c>
      <c r="AL8" s="36">
        <v>67817.359809400004</v>
      </c>
      <c r="AM8" s="36">
        <v>70091.889406800008</v>
      </c>
      <c r="AN8" s="36">
        <v>72366.39122640001</v>
      </c>
      <c r="AO8" s="36">
        <v>74640.920823800014</v>
      </c>
      <c r="AP8" s="36">
        <v>76915.450421200003</v>
      </c>
      <c r="AQ8" s="36">
        <v>79189.952240800005</v>
      </c>
      <c r="AR8" s="36">
        <v>81464.481838200008</v>
      </c>
      <c r="AS8" s="36">
        <v>83739.011435599998</v>
      </c>
      <c r="AT8" s="36">
        <v>86013.541033000016</v>
      </c>
      <c r="AU8" s="36">
        <v>88288.042852600003</v>
      </c>
      <c r="AV8" s="36">
        <v>90562.572450000007</v>
      </c>
      <c r="AW8" s="36">
        <v>92837.074269599994</v>
      </c>
      <c r="AX8" s="36">
        <v>95111.603867000013</v>
      </c>
      <c r="AY8" s="36">
        <v>97386.133464400016</v>
      </c>
      <c r="AZ8" s="36">
        <v>99660.663061800005</v>
      </c>
    </row>
    <row r="9" spans="2:52" ht="17" customHeight="1" x14ac:dyDescent="0.45">
      <c r="B9" s="8" t="s">
        <v>128</v>
      </c>
      <c r="C9" s="30" t="s">
        <v>5</v>
      </c>
      <c r="D9" s="17" t="str">
        <f>IF('TECHNOLOGY REGISTER'!D10="","",'TECHNOLOGY REGISTER'!D10)</f>
        <v>CSP</v>
      </c>
      <c r="E9" s="38"/>
      <c r="F9" s="24" t="s">
        <v>129</v>
      </c>
      <c r="G9" s="37">
        <v>8259.3677186000004</v>
      </c>
      <c r="H9" s="37">
        <v>9218.7018194000029</v>
      </c>
      <c r="I9" s="37">
        <v>9463.3686818000024</v>
      </c>
      <c r="J9" s="37">
        <v>10125.8692118</v>
      </c>
      <c r="K9" s="37">
        <v>11608.981509400002</v>
      </c>
      <c r="L9" s="37">
        <v>11939.342884800002</v>
      </c>
      <c r="M9" s="37">
        <v>12920.288114000003</v>
      </c>
      <c r="N9" s="37">
        <v>13243.621706000004</v>
      </c>
      <c r="O9" s="37">
        <v>13492.010793600002</v>
      </c>
      <c r="P9" s="37">
        <v>14754.678470400002</v>
      </c>
      <c r="Q9" s="37">
        <v>15230.984407</v>
      </c>
      <c r="R9" s="37">
        <v>16703.7911408</v>
      </c>
      <c r="S9" s="37">
        <v>17963.653259800001</v>
      </c>
      <c r="T9" s="37">
        <v>18795.098369400002</v>
      </c>
      <c r="U9" s="37">
        <v>20885.238930399999</v>
      </c>
      <c r="V9" s="37">
        <v>23308.824202599993</v>
      </c>
      <c r="W9" s="37">
        <v>23750.435666999994</v>
      </c>
      <c r="X9" s="37">
        <v>24412.908419199997</v>
      </c>
      <c r="Y9" s="37">
        <v>24547.0474154</v>
      </c>
      <c r="Z9" s="37">
        <v>25292.325789399998</v>
      </c>
      <c r="AA9" s="37">
        <v>24811.992071799999</v>
      </c>
      <c r="AB9" s="37">
        <v>25722.909467199999</v>
      </c>
      <c r="AC9" s="37">
        <v>26026.854154799999</v>
      </c>
      <c r="AD9" s="37">
        <v>26813.549228600001</v>
      </c>
      <c r="AE9" s="37">
        <v>28055.689111200001</v>
      </c>
      <c r="AF9" s="37">
        <v>28925.189806800001</v>
      </c>
      <c r="AG9" s="37">
        <v>29753.273802600001</v>
      </c>
      <c r="AH9" s="37">
        <v>30581.385576200002</v>
      </c>
      <c r="AI9" s="37">
        <v>31409.469572000002</v>
      </c>
      <c r="AJ9" s="37">
        <v>32237.5813456</v>
      </c>
      <c r="AK9" s="37">
        <v>33055.5542222</v>
      </c>
      <c r="AL9" s="37">
        <v>33785.554806200002</v>
      </c>
      <c r="AM9" s="37">
        <v>34575.305438000003</v>
      </c>
      <c r="AN9" s="37">
        <v>35366.028292800002</v>
      </c>
      <c r="AO9" s="37">
        <v>36156.501147399998</v>
      </c>
      <c r="AP9" s="37">
        <v>36951.001783</v>
      </c>
      <c r="AQ9" s="37">
        <v>37743.94686180001</v>
      </c>
      <c r="AR9" s="37">
        <v>38535.364161600002</v>
      </c>
      <c r="AS9" s="37">
        <v>39326.087016399993</v>
      </c>
      <c r="AT9" s="37">
        <v>40117.115426999997</v>
      </c>
      <c r="AU9" s="37">
        <v>40907.727170600003</v>
      </c>
      <c r="AV9" s="37">
        <v>41698.227803000009</v>
      </c>
      <c r="AW9" s="37">
        <v>42488.867324400002</v>
      </c>
      <c r="AX9" s="37">
        <v>43279.284623400003</v>
      </c>
      <c r="AY9" s="37">
        <v>44069.757478</v>
      </c>
      <c r="AZ9" s="37">
        <v>44861.924778399996</v>
      </c>
    </row>
    <row r="10" spans="2:52" ht="17" customHeight="1" x14ac:dyDescent="0.45">
      <c r="B10" s="33" t="s">
        <v>128</v>
      </c>
      <c r="C10" s="29" t="s">
        <v>5</v>
      </c>
      <c r="D10" s="19" t="str">
        <f>IF('TECHNOLOGY REGISTER'!D11="","",'TECHNOLOGY REGISTER'!D11)</f>
        <v>Hydropower</v>
      </c>
      <c r="E10" s="32"/>
      <c r="F10" s="32" t="s">
        <v>129</v>
      </c>
      <c r="G10" s="36">
        <v>3271.7803951999999</v>
      </c>
      <c r="H10" s="36">
        <v>3271.7803951999999</v>
      </c>
      <c r="I10" s="36">
        <v>3271.7803951999999</v>
      </c>
      <c r="J10" s="36">
        <v>3271.7803951999999</v>
      </c>
      <c r="K10" s="36">
        <v>3271.7803951999999</v>
      </c>
      <c r="L10" s="36">
        <v>3271.7803951999999</v>
      </c>
      <c r="M10" s="36">
        <v>3271.7803951999999</v>
      </c>
      <c r="N10" s="36">
        <v>3271.7803951999999</v>
      </c>
      <c r="O10" s="36">
        <v>3271.7803951999999</v>
      </c>
      <c r="P10" s="36">
        <v>3271.7803951999999</v>
      </c>
      <c r="Q10" s="36">
        <v>3271.7803951999999</v>
      </c>
      <c r="R10" s="36">
        <v>3271.7803952000004</v>
      </c>
      <c r="S10" s="36">
        <v>3271.7803951999999</v>
      </c>
      <c r="T10" s="36">
        <v>3271.7803951999995</v>
      </c>
      <c r="U10" s="36">
        <v>3271.7803951999999</v>
      </c>
      <c r="V10" s="36">
        <v>3271.7803951999999</v>
      </c>
      <c r="W10" s="36">
        <v>3271.7803951999995</v>
      </c>
      <c r="X10" s="36">
        <v>2801.0855742000003</v>
      </c>
      <c r="Y10" s="36">
        <v>2801.1133520000003</v>
      </c>
      <c r="Z10" s="36">
        <v>2801.1133520000003</v>
      </c>
      <c r="AA10" s="36">
        <v>2801.1133520000003</v>
      </c>
      <c r="AB10" s="36">
        <v>2801.1133520000003</v>
      </c>
      <c r="AC10" s="36">
        <v>2801.0855742000003</v>
      </c>
      <c r="AD10" s="36">
        <v>2801.1133520000003</v>
      </c>
      <c r="AE10" s="36">
        <v>2801.1133520000003</v>
      </c>
      <c r="AF10" s="36">
        <v>2801.1133520000003</v>
      </c>
      <c r="AG10" s="36">
        <v>2801.1133520000003</v>
      </c>
      <c r="AH10" s="36">
        <v>2801.1133520000003</v>
      </c>
      <c r="AI10" s="36">
        <v>2801.1133520000003</v>
      </c>
      <c r="AJ10" s="36">
        <v>2801.1133520000003</v>
      </c>
      <c r="AK10" s="36">
        <v>2801.0855742000003</v>
      </c>
      <c r="AL10" s="36">
        <v>2801.1133520000003</v>
      </c>
      <c r="AM10" s="36">
        <v>2801.1133520000003</v>
      </c>
      <c r="AN10" s="36">
        <v>2801.1133520000003</v>
      </c>
      <c r="AO10" s="36">
        <v>2801.1133520000003</v>
      </c>
      <c r="AP10" s="36">
        <v>2801.1133520000008</v>
      </c>
      <c r="AQ10" s="36">
        <v>2801.1133520000003</v>
      </c>
      <c r="AR10" s="36">
        <v>2801.1133520000003</v>
      </c>
      <c r="AS10" s="36">
        <v>2801.1133520000003</v>
      </c>
      <c r="AT10" s="36">
        <v>2801.1133520000008</v>
      </c>
      <c r="AU10" s="36">
        <v>2801.1133520000003</v>
      </c>
      <c r="AV10" s="36">
        <v>2801.1133520000003</v>
      </c>
      <c r="AW10" s="36">
        <v>2801.1133520000003</v>
      </c>
      <c r="AX10" s="36">
        <v>2801.1133519999994</v>
      </c>
      <c r="AY10" s="36">
        <v>2801.1133520000003</v>
      </c>
      <c r="AZ10" s="36">
        <v>2801.1133520000003</v>
      </c>
    </row>
    <row r="11" spans="2:52" ht="17" customHeight="1" x14ac:dyDescent="0.45">
      <c r="B11" s="8" t="s">
        <v>128</v>
      </c>
      <c r="C11" s="30" t="s">
        <v>5</v>
      </c>
      <c r="D11" s="17" t="str">
        <f>IF('TECHNOLOGY REGISTER'!D12="","",'TECHNOLOGY REGISTER'!D12)</f>
        <v>Nuclear</v>
      </c>
      <c r="E11" s="38"/>
      <c r="F11" s="24" t="s">
        <v>129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2.9166690000000002</v>
      </c>
      <c r="R11" s="37">
        <v>7.1111168000000005</v>
      </c>
      <c r="S11" s="37">
        <v>20.222238400000002</v>
      </c>
      <c r="T11" s="37">
        <v>19.833349200000004</v>
      </c>
      <c r="U11" s="37">
        <v>11.166675600000001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  <c r="AV11" s="37">
        <v>0</v>
      </c>
      <c r="AW11" s="37">
        <v>0</v>
      </c>
      <c r="AX11" s="37">
        <v>0</v>
      </c>
      <c r="AY11" s="37">
        <v>0</v>
      </c>
      <c r="AZ11" s="37">
        <v>0</v>
      </c>
    </row>
    <row r="12" spans="2:52" ht="17" customHeight="1" x14ac:dyDescent="0.45">
      <c r="B12" s="33" t="s">
        <v>128</v>
      </c>
      <c r="C12" s="29" t="s">
        <v>5</v>
      </c>
      <c r="D12" s="19" t="str">
        <f>IF('TECHNOLOGY REGISTER'!D13="","",'TECHNOLOGY REGISTER'!D13)</f>
        <v>Wind</v>
      </c>
      <c r="E12" s="32"/>
      <c r="F12" s="32" t="s">
        <v>129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311.88913840000004</v>
      </c>
      <c r="Q12" s="36">
        <v>313.58358420000002</v>
      </c>
      <c r="R12" s="36">
        <v>413.41699740000001</v>
      </c>
      <c r="S12" s="36">
        <v>421.97255980000006</v>
      </c>
      <c r="T12" s="36">
        <v>361.3058446</v>
      </c>
      <c r="U12" s="36">
        <v>364.8058474</v>
      </c>
      <c r="V12" s="36">
        <v>729.63947260000009</v>
      </c>
      <c r="W12" s="36">
        <v>754.13949220000006</v>
      </c>
      <c r="X12" s="36">
        <v>734.44503200000008</v>
      </c>
      <c r="Y12" s="36">
        <v>752.69504659999996</v>
      </c>
      <c r="Z12" s="36">
        <v>775.6117316000001</v>
      </c>
      <c r="AA12" s="36">
        <v>800.47286260000021</v>
      </c>
      <c r="AB12" s="36">
        <v>825.08399340000005</v>
      </c>
      <c r="AC12" s="36">
        <v>945.83409000000017</v>
      </c>
      <c r="AD12" s="36">
        <v>1041.6119443999999</v>
      </c>
      <c r="AE12" s="36">
        <v>1103.7231052000002</v>
      </c>
      <c r="AF12" s="36">
        <v>1310.6954930000002</v>
      </c>
      <c r="AG12" s="36">
        <v>1381.2788828</v>
      </c>
      <c r="AH12" s="36">
        <v>1464.9178386000001</v>
      </c>
      <c r="AI12" s="36">
        <v>1483.8900760000004</v>
      </c>
      <c r="AJ12" s="36">
        <v>1499.6956441999998</v>
      </c>
      <c r="AK12" s="36">
        <v>1507.2234280000002</v>
      </c>
      <c r="AL12" s="36">
        <v>1507.6678728000002</v>
      </c>
      <c r="AM12" s="36">
        <v>1508.1123176000001</v>
      </c>
      <c r="AN12" s="36">
        <v>1508.751207</v>
      </c>
      <c r="AO12" s="36">
        <v>1509.167874</v>
      </c>
      <c r="AP12" s="36">
        <v>1511.0567644</v>
      </c>
      <c r="AQ12" s="36">
        <v>1509.4734298000001</v>
      </c>
      <c r="AR12" s="36">
        <v>1510.1956526000001</v>
      </c>
      <c r="AS12" s="36">
        <v>1510.6956530000002</v>
      </c>
      <c r="AT12" s="36">
        <v>1511.2789868</v>
      </c>
      <c r="AU12" s="36">
        <v>1511.6956538000002</v>
      </c>
      <c r="AV12" s="36">
        <v>1512.1123208000001</v>
      </c>
      <c r="AW12" s="36">
        <v>1512.5012100000001</v>
      </c>
      <c r="AX12" s="36">
        <v>1512.9178770000003</v>
      </c>
      <c r="AY12" s="36">
        <v>1513.3067662000001</v>
      </c>
      <c r="AZ12" s="36">
        <v>1517.223436</v>
      </c>
    </row>
    <row r="13" spans="2:52" ht="17" customHeight="1" x14ac:dyDescent="0.45">
      <c r="B13" s="8" t="s">
        <v>128</v>
      </c>
      <c r="C13" s="30" t="s">
        <v>5</v>
      </c>
      <c r="D13" s="17" t="str">
        <f>IF('TECHNOLOGY REGISTER'!D14="","",'TECHNOLOGY REGISTER'!D14)</f>
        <v>Coal</v>
      </c>
      <c r="E13" s="38"/>
      <c r="F13" s="24" t="s">
        <v>129</v>
      </c>
      <c r="G13" s="37">
        <v>433.02812420000009</v>
      </c>
      <c r="H13" s="37">
        <v>501.83373480000012</v>
      </c>
      <c r="I13" s="37">
        <v>501.83373480000012</v>
      </c>
      <c r="J13" s="37">
        <v>501.83373480000012</v>
      </c>
      <c r="K13" s="37">
        <v>501.83373480000012</v>
      </c>
      <c r="L13" s="37">
        <v>501.83373480000012</v>
      </c>
      <c r="M13" s="37">
        <v>501.83373480000012</v>
      </c>
      <c r="N13" s="37">
        <v>501.83373480000012</v>
      </c>
      <c r="O13" s="37">
        <v>501.83373480000012</v>
      </c>
      <c r="P13" s="37">
        <v>501.83373480000012</v>
      </c>
      <c r="Q13" s="37">
        <v>501.83373480000012</v>
      </c>
      <c r="R13" s="37">
        <v>501.83373480000012</v>
      </c>
      <c r="S13" s="37">
        <v>501.83373480000012</v>
      </c>
      <c r="T13" s="37">
        <v>415.41699900000003</v>
      </c>
      <c r="U13" s="37">
        <v>415.41699900000003</v>
      </c>
      <c r="V13" s="37">
        <v>415.41699900000003</v>
      </c>
      <c r="W13" s="37">
        <v>557.33377920000009</v>
      </c>
      <c r="X13" s="37">
        <v>488.52816860000007</v>
      </c>
      <c r="Y13" s="37">
        <v>417.13922260000004</v>
      </c>
      <c r="Z13" s="37">
        <v>348.33361200000002</v>
      </c>
      <c r="AA13" s="37">
        <v>348.33361200000002</v>
      </c>
      <c r="AB13" s="37">
        <v>279.52800139999999</v>
      </c>
      <c r="AC13" s="37">
        <v>279.52800139999999</v>
      </c>
      <c r="AD13" s="37">
        <v>279.52800139999999</v>
      </c>
      <c r="AE13" s="37">
        <v>279.52800139999999</v>
      </c>
      <c r="AF13" s="37">
        <v>412.08366300000006</v>
      </c>
      <c r="AG13" s="37">
        <v>863.83402440000009</v>
      </c>
      <c r="AH13" s="37">
        <v>1265.2232344000001</v>
      </c>
      <c r="AI13" s="37">
        <v>1681.8346788000003</v>
      </c>
      <c r="AJ13" s="37">
        <v>1730.2513842000001</v>
      </c>
      <c r="AK13" s="37">
        <v>1859.3070430000002</v>
      </c>
      <c r="AL13" s="37">
        <v>2035.5016284000001</v>
      </c>
      <c r="AM13" s="37">
        <v>2065.9738750000001</v>
      </c>
      <c r="AN13" s="37">
        <v>2095.3072318000004</v>
      </c>
      <c r="AO13" s="37">
        <v>2137.7239324000002</v>
      </c>
      <c r="AP13" s="37">
        <v>2145.8072722000002</v>
      </c>
      <c r="AQ13" s="37">
        <v>2118.8628062000003</v>
      </c>
      <c r="AR13" s="37">
        <v>2153.5850562000001</v>
      </c>
      <c r="AS13" s="37">
        <v>2193.8628662000001</v>
      </c>
      <c r="AT13" s="37">
        <v>2232.0017855999999</v>
      </c>
      <c r="AU13" s="37">
        <v>2274.2240416000004</v>
      </c>
      <c r="AV13" s="37">
        <v>2316.6407422000002</v>
      </c>
      <c r="AW13" s="37">
        <v>2359.029665</v>
      </c>
      <c r="AX13" s="37">
        <v>2401.4463656000003</v>
      </c>
      <c r="AY13" s="37">
        <v>2443.8630662</v>
      </c>
      <c r="AZ13" s="37">
        <v>2486.9186562</v>
      </c>
    </row>
    <row r="14" spans="2:52" ht="17" customHeight="1" x14ac:dyDescent="0.45">
      <c r="B14" s="33" t="s">
        <v>128</v>
      </c>
      <c r="C14" s="29" t="s">
        <v>5</v>
      </c>
      <c r="D14" s="19" t="str">
        <f>IF('TECHNOLOGY REGISTER'!D15="","",'TECHNOLOGY REGISTER'!D15)</f>
        <v>Oil</v>
      </c>
      <c r="E14" s="32"/>
      <c r="F14" s="32" t="s">
        <v>129</v>
      </c>
      <c r="G14" s="36">
        <v>15166.456577600002</v>
      </c>
      <c r="H14" s="36">
        <v>15608.234708800001</v>
      </c>
      <c r="I14" s="36">
        <v>16459.235389600002</v>
      </c>
      <c r="J14" s="36">
        <v>17394.402804400001</v>
      </c>
      <c r="K14" s="36">
        <v>18448.5147588</v>
      </c>
      <c r="L14" s="36">
        <v>19465.1266832</v>
      </c>
      <c r="M14" s="36">
        <v>20439.294129200003</v>
      </c>
      <c r="N14" s="36">
        <v>21572.628369200003</v>
      </c>
      <c r="O14" s="36">
        <v>22666.907022400002</v>
      </c>
      <c r="P14" s="36">
        <v>23868.130205600002</v>
      </c>
      <c r="Q14" s="36">
        <v>25111.1867556</v>
      </c>
      <c r="R14" s="36">
        <v>26388.993333400002</v>
      </c>
      <c r="S14" s="36">
        <v>27937.633461200003</v>
      </c>
      <c r="T14" s="36">
        <v>29550.690307200002</v>
      </c>
      <c r="U14" s="36">
        <v>31256.219449400003</v>
      </c>
      <c r="V14" s="36">
        <v>33064.332006999997</v>
      </c>
      <c r="W14" s="36">
        <v>34969.333531000004</v>
      </c>
      <c r="X14" s="36">
        <v>36940.835108200001</v>
      </c>
      <c r="Y14" s="36">
        <v>39043.392345799999</v>
      </c>
      <c r="Z14" s="36">
        <v>41258.033006400001</v>
      </c>
      <c r="AA14" s="36">
        <v>43599.284879400002</v>
      </c>
      <c r="AB14" s="36">
        <v>46069.87018920001</v>
      </c>
      <c r="AC14" s="36">
        <v>48672.066715400004</v>
      </c>
      <c r="AD14" s="36">
        <v>51423.263360800003</v>
      </c>
      <c r="AE14" s="36">
        <v>54326.432350000003</v>
      </c>
      <c r="AF14" s="36">
        <v>57383.740351400003</v>
      </c>
      <c r="AG14" s="36">
        <v>59793.186723400009</v>
      </c>
      <c r="AH14" s="36">
        <v>62202.633095400008</v>
      </c>
      <c r="AI14" s="36">
        <v>64612.079467399999</v>
      </c>
      <c r="AJ14" s="36">
        <v>67021.525839399997</v>
      </c>
      <c r="AK14" s="36">
        <v>69430.972211400003</v>
      </c>
      <c r="AL14" s="36">
        <v>71840.418583399995</v>
      </c>
      <c r="AM14" s="36">
        <v>74249.864955400015</v>
      </c>
      <c r="AN14" s="36">
        <v>76659.339105200008</v>
      </c>
      <c r="AO14" s="36">
        <v>79068.785477200014</v>
      </c>
      <c r="AP14" s="36">
        <v>81478.231849200005</v>
      </c>
      <c r="AQ14" s="36">
        <v>83887.678221200011</v>
      </c>
      <c r="AR14" s="36">
        <v>86297.124593200002</v>
      </c>
      <c r="AS14" s="36">
        <v>88706.570965199993</v>
      </c>
      <c r="AT14" s="36">
        <v>91116.017337200014</v>
      </c>
      <c r="AU14" s="36">
        <v>93525.463709200005</v>
      </c>
      <c r="AV14" s="36">
        <v>95934.937859000012</v>
      </c>
      <c r="AW14" s="36">
        <v>98344.384231000004</v>
      </c>
      <c r="AX14" s="36">
        <v>100753.83060300001</v>
      </c>
      <c r="AY14" s="36">
        <v>103163.276975</v>
      </c>
      <c r="AZ14" s="36">
        <v>105572.72334700002</v>
      </c>
    </row>
    <row r="15" spans="2:52" ht="17" customHeight="1" x14ac:dyDescent="0.45">
      <c r="B15" s="8" t="s">
        <v>128</v>
      </c>
      <c r="C15" s="30" t="s">
        <v>5</v>
      </c>
      <c r="D15" s="17" t="str">
        <f>IF('TECHNOLOGY REGISTER'!D16="","",'TECHNOLOGY REGISTER'!D16)</f>
        <v>Gas</v>
      </c>
      <c r="E15" s="38"/>
      <c r="F15" s="24" t="s">
        <v>129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  <c r="AV15" s="37">
        <v>0</v>
      </c>
      <c r="AW15" s="37">
        <v>0</v>
      </c>
      <c r="AX15" s="37">
        <v>0</v>
      </c>
      <c r="AY15" s="37">
        <v>0</v>
      </c>
      <c r="AZ15" s="37">
        <v>0</v>
      </c>
    </row>
    <row r="16" spans="2:52" ht="17" customHeight="1" x14ac:dyDescent="0.45">
      <c r="B16" s="33" t="s">
        <v>128</v>
      </c>
      <c r="C16" s="29" t="s">
        <v>5</v>
      </c>
      <c r="D16" s="19" t="str">
        <f>IF('TECHNOLOGY REGISTER'!D17="","",'TECHNOLOGY REGISTER'!D17)</f>
        <v>Transmission</v>
      </c>
      <c r="E16" s="32"/>
      <c r="F16" s="32" t="s">
        <v>129</v>
      </c>
      <c r="G16" s="36">
        <v>680.50054440000019</v>
      </c>
      <c r="H16" s="36">
        <v>112.77786800000001</v>
      </c>
      <c r="I16" s="36">
        <v>263.94465560000003</v>
      </c>
      <c r="J16" s="36">
        <v>293.36134579999998</v>
      </c>
      <c r="K16" s="36">
        <v>230.97240700000003</v>
      </c>
      <c r="L16" s="36">
        <v>206.72238760000002</v>
      </c>
      <c r="M16" s="36">
        <v>217.66684080000005</v>
      </c>
      <c r="N16" s="36">
        <v>238.33352400000004</v>
      </c>
      <c r="O16" s="36">
        <v>204.66683040000001</v>
      </c>
      <c r="P16" s="36">
        <v>0.50000040000000001</v>
      </c>
      <c r="Q16" s="36">
        <v>18.166681200000003</v>
      </c>
      <c r="R16" s="36">
        <v>0</v>
      </c>
      <c r="S16" s="36">
        <v>0</v>
      </c>
      <c r="T16" s="36">
        <v>0</v>
      </c>
      <c r="U16" s="36">
        <v>0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6">
        <v>0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36">
        <v>0</v>
      </c>
      <c r="AS16" s="36">
        <v>0</v>
      </c>
      <c r="AT16" s="36">
        <v>0</v>
      </c>
      <c r="AU16" s="36">
        <v>0</v>
      </c>
      <c r="AV16" s="36">
        <v>0</v>
      </c>
      <c r="AW16" s="36">
        <v>0</v>
      </c>
      <c r="AX16" s="36">
        <v>0</v>
      </c>
      <c r="AY16" s="36">
        <v>0</v>
      </c>
      <c r="AZ16" s="36">
        <v>0</v>
      </c>
    </row>
    <row r="17" spans="2:52" ht="17" customHeight="1" x14ac:dyDescent="0.45">
      <c r="B17" s="8" t="s">
        <v>128</v>
      </c>
      <c r="C17" s="30" t="s">
        <v>5</v>
      </c>
      <c r="D17" s="17" t="str">
        <f>IF('TECHNOLOGY REGISTER'!D18="","",'TECHNOLOGY REGISTER'!D18)</f>
        <v>Distribution</v>
      </c>
      <c r="E17" s="38"/>
      <c r="F17" s="24" t="s">
        <v>129</v>
      </c>
      <c r="G17" s="37">
        <v>1236.2787668000001</v>
      </c>
      <c r="H17" s="37">
        <v>1018.6952594000001</v>
      </c>
      <c r="I17" s="37">
        <v>1381.4733274</v>
      </c>
      <c r="J17" s="37">
        <v>1297.22326</v>
      </c>
      <c r="K17" s="37">
        <v>978.36189380000008</v>
      </c>
      <c r="L17" s="37">
        <v>767.05616920000011</v>
      </c>
      <c r="M17" s="37">
        <v>706.02834260000009</v>
      </c>
      <c r="N17" s="37">
        <v>707.5561216000001</v>
      </c>
      <c r="O17" s="37">
        <v>705.38945320000005</v>
      </c>
      <c r="P17" s="37">
        <v>722.66724480000005</v>
      </c>
      <c r="Q17" s="37">
        <v>799.66730640000003</v>
      </c>
      <c r="R17" s="37">
        <v>676.72276360000001</v>
      </c>
      <c r="S17" s="37">
        <v>735.4728106</v>
      </c>
      <c r="T17" s="37">
        <v>720.97279900000001</v>
      </c>
      <c r="U17" s="37">
        <v>904.1396122000001</v>
      </c>
      <c r="V17" s="37">
        <v>381.83363880000002</v>
      </c>
      <c r="W17" s="37">
        <v>435.72257080000003</v>
      </c>
      <c r="X17" s="37">
        <v>494.22261759999998</v>
      </c>
      <c r="Y17" s="37">
        <v>519.55597120000004</v>
      </c>
      <c r="Z17" s="37">
        <v>547.63932700000009</v>
      </c>
      <c r="AA17" s="37">
        <v>605.11159520000001</v>
      </c>
      <c r="AB17" s="37">
        <v>660.50052840000012</v>
      </c>
      <c r="AC17" s="37">
        <v>597.52825580000001</v>
      </c>
      <c r="AD17" s="37">
        <v>582.63935500000014</v>
      </c>
      <c r="AE17" s="37">
        <v>661.944974</v>
      </c>
      <c r="AF17" s="37">
        <v>648.889408</v>
      </c>
      <c r="AG17" s="37">
        <v>726.77835920000007</v>
      </c>
      <c r="AH17" s="37">
        <v>925.36185140000009</v>
      </c>
      <c r="AI17" s="37">
        <v>1237.2787676</v>
      </c>
      <c r="AJ17" s="37">
        <v>1228.2232048000001</v>
      </c>
      <c r="AK17" s="37">
        <v>1295.6121476000001</v>
      </c>
      <c r="AL17" s="37">
        <v>1383.751107</v>
      </c>
      <c r="AM17" s="37">
        <v>1339.9177385999999</v>
      </c>
      <c r="AN17" s="37">
        <v>1305.0843774</v>
      </c>
      <c r="AO17" s="37">
        <v>1282.1399146000001</v>
      </c>
      <c r="AP17" s="37">
        <v>1265.2510122000001</v>
      </c>
      <c r="AQ17" s="37">
        <v>1278.6676896000001</v>
      </c>
      <c r="AR17" s="37">
        <v>1257.084339</v>
      </c>
      <c r="AS17" s="37">
        <v>1234.5009876000001</v>
      </c>
      <c r="AT17" s="37">
        <v>1212.3065254000001</v>
      </c>
      <c r="AU17" s="37">
        <v>1189.3898403999999</v>
      </c>
      <c r="AV17" s="37">
        <v>1166.4453776000003</v>
      </c>
      <c r="AW17" s="37">
        <v>1143.5009148000001</v>
      </c>
      <c r="AX17" s="37">
        <v>1120.5286742000001</v>
      </c>
      <c r="AY17" s="37">
        <v>1097.5842114</v>
      </c>
      <c r="AZ17" s="37">
        <v>1085.5008684000002</v>
      </c>
    </row>
    <row r="18" spans="2:52" ht="17" customHeight="1" x14ac:dyDescent="0.45">
      <c r="B18" s="33" t="s">
        <v>128</v>
      </c>
      <c r="C18" s="29" t="s">
        <v>5</v>
      </c>
      <c r="D18" s="19" t="str">
        <f>IF('TECHNOLOGY REGISTER'!D19="","",'TECHNOLOGY REGISTER'!D19)</f>
        <v>Imports</v>
      </c>
      <c r="E18" s="32"/>
      <c r="F18" s="32" t="s">
        <v>129</v>
      </c>
      <c r="G18" s="37">
        <v>1875.20520386667</v>
      </c>
      <c r="H18" s="37">
        <v>1395.8529685333301</v>
      </c>
      <c r="I18" s="37">
        <v>1929.9459884</v>
      </c>
      <c r="J18" s="37">
        <v>1827.4181286</v>
      </c>
      <c r="K18" s="37">
        <v>1381.4733274</v>
      </c>
      <c r="L18" s="37">
        <v>1091.6490214666701</v>
      </c>
      <c r="M18" s="37">
        <v>1013.9267370666699</v>
      </c>
      <c r="N18" s="37">
        <v>1022.85267013333</v>
      </c>
      <c r="O18" s="37">
        <v>1008.74154773333</v>
      </c>
      <c r="P18" s="37">
        <v>963.72299320000002</v>
      </c>
      <c r="Q18" s="37">
        <v>1072.2786355999999</v>
      </c>
      <c r="R18" s="37">
        <v>902.29701813333304</v>
      </c>
      <c r="S18" s="37">
        <v>980.63041413333303</v>
      </c>
      <c r="T18" s="37">
        <v>961.29706533333297</v>
      </c>
      <c r="U18" s="37">
        <v>1205.51948293333</v>
      </c>
      <c r="V18" s="37">
        <v>509.11151840000002</v>
      </c>
      <c r="W18" s="37">
        <v>580.96342773333299</v>
      </c>
      <c r="X18" s="37">
        <v>658.96349013333304</v>
      </c>
      <c r="Y18" s="37">
        <v>692.74129493333305</v>
      </c>
      <c r="Z18" s="37">
        <v>730.18576933333304</v>
      </c>
      <c r="AA18" s="37">
        <v>806.81546026666695</v>
      </c>
      <c r="AB18" s="37">
        <v>880.66737120000005</v>
      </c>
      <c r="AC18" s="37">
        <v>796.70434106666698</v>
      </c>
      <c r="AD18" s="37">
        <v>776.85247333333302</v>
      </c>
      <c r="AE18" s="37">
        <v>882.59329866666701</v>
      </c>
      <c r="AF18" s="37">
        <v>865.185877333333</v>
      </c>
      <c r="AG18" s="37">
        <v>969.03781226666695</v>
      </c>
      <c r="AH18" s="37">
        <v>1233.81580186667</v>
      </c>
      <c r="AI18" s="37">
        <v>1649.7050234666699</v>
      </c>
      <c r="AJ18" s="37">
        <v>1637.63093973333</v>
      </c>
      <c r="AK18" s="37">
        <v>1727.4828634666701</v>
      </c>
      <c r="AL18" s="37">
        <v>1845.0014759999999</v>
      </c>
      <c r="AM18" s="37">
        <v>1786.5569848</v>
      </c>
      <c r="AN18" s="37">
        <v>1740.1125032</v>
      </c>
      <c r="AO18" s="37">
        <v>1709.5198861333299</v>
      </c>
      <c r="AP18" s="37">
        <v>1687.0013495999999</v>
      </c>
      <c r="AQ18" s="37">
        <v>1704.8902528000001</v>
      </c>
      <c r="AR18" s="37">
        <v>1676.1124520000001</v>
      </c>
      <c r="AS18" s="37">
        <v>1646.0013168</v>
      </c>
      <c r="AT18" s="37">
        <v>1616.4087005333299</v>
      </c>
      <c r="AU18" s="37">
        <v>1585.85312053333</v>
      </c>
      <c r="AV18" s="37">
        <v>1555.2605034666699</v>
      </c>
      <c r="AW18" s="37">
        <v>1524.6678864</v>
      </c>
      <c r="AX18" s="37">
        <v>1494.0382322666701</v>
      </c>
      <c r="AY18" s="37">
        <v>1463.4456152</v>
      </c>
      <c r="AZ18" s="37">
        <v>1447.3344912</v>
      </c>
    </row>
    <row r="19" spans="2:52" ht="17" customHeight="1" x14ac:dyDescent="0.45">
      <c r="B19" s="8" t="s">
        <v>128</v>
      </c>
      <c r="C19" s="30" t="s">
        <v>5</v>
      </c>
      <c r="D19" s="17" t="str">
        <f>IF('TECHNOLOGY REGISTER'!D20="","",'TECHNOLOGY REGISTER'!D20)</f>
        <v>Energy Exports</v>
      </c>
      <c r="E19" s="38"/>
      <c r="F19" s="24" t="s">
        <v>129</v>
      </c>
      <c r="G19" s="36">
        <v>2493.3445872666698</v>
      </c>
      <c r="H19" s="36">
        <v>1905.2005982333301</v>
      </c>
      <c r="I19" s="36">
        <v>2620.6826520999998</v>
      </c>
      <c r="J19" s="36">
        <v>2476.0297586000002</v>
      </c>
      <c r="K19" s="36">
        <v>1870.6542743</v>
      </c>
      <c r="L19" s="36">
        <v>1475.1771060666699</v>
      </c>
      <c r="M19" s="36">
        <v>1366.9409083666701</v>
      </c>
      <c r="N19" s="36">
        <v>1376.6307309333299</v>
      </c>
      <c r="O19" s="36">
        <v>1361.4362743333299</v>
      </c>
      <c r="P19" s="36">
        <v>1325.0566156</v>
      </c>
      <c r="Q19" s="36">
        <v>1472.1122888</v>
      </c>
      <c r="R19" s="36">
        <v>1240.65839993333</v>
      </c>
      <c r="S19" s="36">
        <v>1348.36681943333</v>
      </c>
      <c r="T19" s="36">
        <v>1321.7834648333301</v>
      </c>
      <c r="U19" s="36">
        <v>1657.58928903333</v>
      </c>
      <c r="V19" s="36">
        <v>700.02833780000003</v>
      </c>
      <c r="W19" s="36">
        <v>798.82471313333303</v>
      </c>
      <c r="X19" s="36">
        <v>906.074798933333</v>
      </c>
      <c r="Y19" s="36">
        <v>952.51928053333302</v>
      </c>
      <c r="Z19" s="36">
        <v>1004.00543283333</v>
      </c>
      <c r="AA19" s="36">
        <v>1109.37125786667</v>
      </c>
      <c r="AB19" s="36">
        <v>1210.9176354000001</v>
      </c>
      <c r="AC19" s="36">
        <v>1095.4684689666699</v>
      </c>
      <c r="AD19" s="36">
        <v>1068.1721508333301</v>
      </c>
      <c r="AE19" s="36">
        <v>1213.5657856666701</v>
      </c>
      <c r="AF19" s="36">
        <v>1189.6305813333299</v>
      </c>
      <c r="AG19" s="36">
        <v>1332.4269918666701</v>
      </c>
      <c r="AH19" s="36">
        <v>1696.49672756667</v>
      </c>
      <c r="AI19" s="36">
        <v>2268.3444072666698</v>
      </c>
      <c r="AJ19" s="36">
        <v>2251.7425421333301</v>
      </c>
      <c r="AK19" s="36">
        <v>2375.28893726667</v>
      </c>
      <c r="AL19" s="36">
        <v>2536.8770294999999</v>
      </c>
      <c r="AM19" s="36">
        <v>2456.5158541000001</v>
      </c>
      <c r="AN19" s="36">
        <v>2392.6546919000002</v>
      </c>
      <c r="AO19" s="36">
        <v>2350.5898434333299</v>
      </c>
      <c r="AP19" s="36">
        <v>2319.6268556999999</v>
      </c>
      <c r="AQ19" s="36">
        <v>2344.2240975999998</v>
      </c>
      <c r="AR19" s="36">
        <v>2304.6546214999998</v>
      </c>
      <c r="AS19" s="36">
        <v>2263.2518106000002</v>
      </c>
      <c r="AT19" s="36">
        <v>2222.5619632333301</v>
      </c>
      <c r="AU19" s="36">
        <v>2180.5480407333298</v>
      </c>
      <c r="AV19" s="36">
        <v>2138.4831922666699</v>
      </c>
      <c r="AW19" s="36">
        <v>2096.4183438</v>
      </c>
      <c r="AX19" s="36">
        <v>2054.30256936667</v>
      </c>
      <c r="AY19" s="36">
        <v>2012.2377209000001</v>
      </c>
      <c r="AZ19" s="36">
        <v>1990.0849254</v>
      </c>
    </row>
    <row r="20" spans="2:52" ht="17" customHeight="1" x14ac:dyDescent="0.45">
      <c r="B20" s="33" t="s">
        <v>128</v>
      </c>
      <c r="C20" s="29" t="s">
        <v>5</v>
      </c>
      <c r="D20" s="19" t="str">
        <f>IF('TECHNOLOGY REGISTER'!D21="","",'TECHNOLOGY REGISTER'!D21)</f>
        <v>Direct Solar</v>
      </c>
      <c r="E20" s="32"/>
      <c r="F20" s="32" t="s">
        <v>129</v>
      </c>
      <c r="G20" s="37">
        <v>3111.4839706666698</v>
      </c>
      <c r="H20" s="37">
        <v>2414.5482279333301</v>
      </c>
      <c r="I20" s="37">
        <v>3311.4193157999998</v>
      </c>
      <c r="J20" s="37">
        <v>3124.6413886</v>
      </c>
      <c r="K20" s="37">
        <v>2359.8352212</v>
      </c>
      <c r="L20" s="37">
        <v>1858.70519066667</v>
      </c>
      <c r="M20" s="37">
        <v>1719.9550796666699</v>
      </c>
      <c r="N20" s="37">
        <v>1730.40879173333</v>
      </c>
      <c r="O20" s="37">
        <v>1714.1310009333299</v>
      </c>
      <c r="P20" s="37">
        <v>1686.390238</v>
      </c>
      <c r="Q20" s="37">
        <v>1871.9459420000001</v>
      </c>
      <c r="R20" s="37">
        <v>1579.0197817333301</v>
      </c>
      <c r="S20" s="37">
        <v>1716.1032247333301</v>
      </c>
      <c r="T20" s="37">
        <v>1682.2698643333299</v>
      </c>
      <c r="U20" s="37">
        <v>2109.6590951333301</v>
      </c>
      <c r="V20" s="37">
        <v>890.94515720000004</v>
      </c>
      <c r="W20" s="37">
        <v>1016.68599853333</v>
      </c>
      <c r="X20" s="37">
        <v>1153.1861077333299</v>
      </c>
      <c r="Y20" s="37">
        <v>1212.2972661333299</v>
      </c>
      <c r="Z20" s="37">
        <v>1277.8250963333301</v>
      </c>
      <c r="AA20" s="37">
        <v>1411.92705546667</v>
      </c>
      <c r="AB20" s="37">
        <v>1541.1678996000001</v>
      </c>
      <c r="AC20" s="37">
        <v>1394.2325968666701</v>
      </c>
      <c r="AD20" s="37">
        <v>1359.49182833333</v>
      </c>
      <c r="AE20" s="37">
        <v>1544.5382726666701</v>
      </c>
      <c r="AF20" s="37">
        <v>1514.0752853333299</v>
      </c>
      <c r="AG20" s="37">
        <v>1695.8161714666701</v>
      </c>
      <c r="AH20" s="37">
        <v>2159.1776532666699</v>
      </c>
      <c r="AI20" s="37">
        <v>2886.9837910666702</v>
      </c>
      <c r="AJ20" s="37">
        <v>2865.8541445333299</v>
      </c>
      <c r="AK20" s="37">
        <v>3023.0950110666699</v>
      </c>
      <c r="AL20" s="37">
        <v>3228.752583</v>
      </c>
      <c r="AM20" s="37">
        <v>3126.4747234000001</v>
      </c>
      <c r="AN20" s="37">
        <v>3045.1968806</v>
      </c>
      <c r="AO20" s="37">
        <v>2991.65980073333</v>
      </c>
      <c r="AP20" s="37">
        <v>2952.2523618</v>
      </c>
      <c r="AQ20" s="37">
        <v>2983.5579423999998</v>
      </c>
      <c r="AR20" s="37">
        <v>2933.1967909999998</v>
      </c>
      <c r="AS20" s="37">
        <v>2880.5023044</v>
      </c>
      <c r="AT20" s="37">
        <v>2828.7152259333302</v>
      </c>
      <c r="AU20" s="37">
        <v>2775.2429609333299</v>
      </c>
      <c r="AV20" s="37">
        <v>2721.7058810666699</v>
      </c>
      <c r="AW20" s="37">
        <v>2668.1688012</v>
      </c>
      <c r="AX20" s="37">
        <v>2614.5669064666699</v>
      </c>
      <c r="AY20" s="37">
        <v>2561.0298266</v>
      </c>
      <c r="AZ20" s="37">
        <v>2532.8353596000002</v>
      </c>
    </row>
    <row r="21" spans="2:52" ht="15" customHeight="1" x14ac:dyDescent="0.45">
      <c r="B21" s="8" t="s">
        <v>128</v>
      </c>
      <c r="C21" s="30" t="s">
        <v>5</v>
      </c>
      <c r="D21" s="17" t="str">
        <f>IF('TECHNOLOGY REGISTER'!D22="","",'TECHNOLOGY REGISTER'!D22)</f>
        <v>Direct Oil</v>
      </c>
      <c r="E21" s="38"/>
      <c r="F21" s="24" t="s">
        <v>129</v>
      </c>
      <c r="G21" s="37">
        <v>3729.6233540666699</v>
      </c>
      <c r="H21" s="37">
        <v>2923.8958576333298</v>
      </c>
      <c r="I21" s="37">
        <v>4002.1559794999998</v>
      </c>
      <c r="J21" s="37">
        <v>3773.2530185999999</v>
      </c>
      <c r="K21" s="37">
        <v>2849.0161681</v>
      </c>
      <c r="L21" s="37">
        <v>2242.2332752666698</v>
      </c>
      <c r="M21" s="37">
        <v>2072.9692509666702</v>
      </c>
      <c r="N21" s="37">
        <v>2084.1868525333298</v>
      </c>
      <c r="O21" s="37">
        <v>2066.8257275333299</v>
      </c>
      <c r="P21" s="37">
        <v>2047.7238603999999</v>
      </c>
      <c r="Q21" s="37">
        <v>2271.7795952000001</v>
      </c>
      <c r="R21" s="37">
        <v>1917.38116353333</v>
      </c>
      <c r="S21" s="37">
        <v>2083.8396300333302</v>
      </c>
      <c r="T21" s="37">
        <v>2042.75626383333</v>
      </c>
      <c r="U21" s="37">
        <v>2561.7289012333299</v>
      </c>
      <c r="V21" s="37">
        <v>1081.8619765999999</v>
      </c>
      <c r="W21" s="37">
        <v>1234.5472839333299</v>
      </c>
      <c r="X21" s="37">
        <v>1400.2974165333301</v>
      </c>
      <c r="Y21" s="37">
        <v>1472.0752517333301</v>
      </c>
      <c r="Z21" s="37">
        <v>1551.64475983333</v>
      </c>
      <c r="AA21" s="37">
        <v>1714.48285306667</v>
      </c>
      <c r="AB21" s="37">
        <v>1871.4181638</v>
      </c>
      <c r="AC21" s="37">
        <v>1692.99672476667</v>
      </c>
      <c r="AD21" s="37">
        <v>1650.8115058333301</v>
      </c>
      <c r="AE21" s="37">
        <v>1875.5107596666701</v>
      </c>
      <c r="AF21" s="37">
        <v>1838.5199893333299</v>
      </c>
      <c r="AG21" s="37">
        <v>2059.2053510666701</v>
      </c>
      <c r="AH21" s="37">
        <v>2621.8585789666699</v>
      </c>
      <c r="AI21" s="37">
        <v>3505.6231748666701</v>
      </c>
      <c r="AJ21" s="37">
        <v>3479.9657469333301</v>
      </c>
      <c r="AK21" s="37">
        <v>3670.9010848666699</v>
      </c>
      <c r="AL21" s="37">
        <v>3920.6281365</v>
      </c>
      <c r="AM21" s="37">
        <v>3796.4335927000002</v>
      </c>
      <c r="AN21" s="37">
        <v>3697.7390693000002</v>
      </c>
      <c r="AO21" s="37">
        <v>3632.7297580333302</v>
      </c>
      <c r="AP21" s="37">
        <v>3584.8778679000002</v>
      </c>
      <c r="AQ21" s="37">
        <v>3622.8917872000002</v>
      </c>
      <c r="AR21" s="37">
        <v>3561.7389604999998</v>
      </c>
      <c r="AS21" s="37">
        <v>3497.7527982000001</v>
      </c>
      <c r="AT21" s="37">
        <v>3434.8684886333299</v>
      </c>
      <c r="AU21" s="37">
        <v>3369.9378811333299</v>
      </c>
      <c r="AV21" s="37">
        <v>3304.9285698666699</v>
      </c>
      <c r="AW21" s="37">
        <v>3239.9192585999999</v>
      </c>
      <c r="AX21" s="37">
        <v>3174.8312435666699</v>
      </c>
      <c r="AY21" s="37">
        <v>3109.8219322999998</v>
      </c>
      <c r="AZ21" s="37">
        <v>3075.5857937999999</v>
      </c>
    </row>
    <row r="22" spans="2:52" ht="15" customHeight="1" x14ac:dyDescent="0.45">
      <c r="B22" s="33" t="s">
        <v>128</v>
      </c>
      <c r="C22" s="29" t="s">
        <v>5</v>
      </c>
      <c r="D22" s="19" t="str">
        <f>IF('TECHNOLOGY REGISTER'!D23="","",'TECHNOLOGY REGISTER'!D23)</f>
        <v>Direct Hydro</v>
      </c>
      <c r="E22" s="32"/>
      <c r="F22" s="32" t="s">
        <v>129</v>
      </c>
      <c r="G22" s="36">
        <v>4347.7627374666699</v>
      </c>
      <c r="H22" s="36">
        <v>3433.24348733333</v>
      </c>
      <c r="I22" s="36">
        <v>4692.8926431999998</v>
      </c>
      <c r="J22" s="36">
        <v>4421.8646485999998</v>
      </c>
      <c r="K22" s="36">
        <v>3338.1971149999999</v>
      </c>
      <c r="L22" s="36">
        <v>2625.7613598666699</v>
      </c>
      <c r="M22" s="36">
        <v>2425.98342226667</v>
      </c>
      <c r="N22" s="36">
        <v>2437.9649133333301</v>
      </c>
      <c r="O22" s="36">
        <v>2419.5204541333301</v>
      </c>
      <c r="P22" s="36">
        <v>2409.0574827999999</v>
      </c>
      <c r="Q22" s="36">
        <v>2671.6132484</v>
      </c>
      <c r="R22" s="36">
        <v>2255.7425453333299</v>
      </c>
      <c r="S22" s="36">
        <v>2451.5760353333299</v>
      </c>
      <c r="T22" s="36">
        <v>2403.2426633333298</v>
      </c>
      <c r="U22" s="36">
        <v>3013.7987073333302</v>
      </c>
      <c r="V22" s="36">
        <v>1272.7787960000001</v>
      </c>
      <c r="W22" s="36">
        <v>1452.40856933333</v>
      </c>
      <c r="X22" s="36">
        <v>1647.40872533333</v>
      </c>
      <c r="Y22" s="36">
        <v>1731.8532373333301</v>
      </c>
      <c r="Z22" s="36">
        <v>1825.4644233333299</v>
      </c>
      <c r="AA22" s="36">
        <v>2017.03865066667</v>
      </c>
      <c r="AB22" s="36">
        <v>2201.6684279999999</v>
      </c>
      <c r="AC22" s="36">
        <v>1991.76085266667</v>
      </c>
      <c r="AD22" s="36">
        <v>1942.13118333333</v>
      </c>
      <c r="AE22" s="36">
        <v>2206.4832466666699</v>
      </c>
      <c r="AF22" s="36">
        <v>2162.9646933333302</v>
      </c>
      <c r="AG22" s="36">
        <v>2422.5945306666699</v>
      </c>
      <c r="AH22" s="36">
        <v>3084.5395046666699</v>
      </c>
      <c r="AI22" s="36">
        <v>4124.26255866667</v>
      </c>
      <c r="AJ22" s="36">
        <v>4094.0773493333299</v>
      </c>
      <c r="AK22" s="36">
        <v>4318.7071586666698</v>
      </c>
      <c r="AL22" s="36">
        <v>4612.5036899999996</v>
      </c>
      <c r="AM22" s="36">
        <v>4466.3924619999998</v>
      </c>
      <c r="AN22" s="36">
        <v>4350.281258</v>
      </c>
      <c r="AO22" s="36">
        <v>4273.7997153333299</v>
      </c>
      <c r="AP22" s="36">
        <v>4217.5033739999999</v>
      </c>
      <c r="AQ22" s="36">
        <v>4262.2256319999997</v>
      </c>
      <c r="AR22" s="36">
        <v>4190.2811300000003</v>
      </c>
      <c r="AS22" s="36">
        <v>4115.0032920000003</v>
      </c>
      <c r="AT22" s="36">
        <v>4041.02175133333</v>
      </c>
      <c r="AU22" s="36">
        <v>3964.63280133333</v>
      </c>
      <c r="AV22" s="36">
        <v>3888.1512586666699</v>
      </c>
      <c r="AW22" s="36">
        <v>3811.6697159999999</v>
      </c>
      <c r="AX22" s="36">
        <v>3735.0955806666698</v>
      </c>
      <c r="AY22" s="36">
        <v>3658.6140380000002</v>
      </c>
      <c r="AZ22" s="36">
        <v>3618.3362280000001</v>
      </c>
    </row>
    <row r="23" spans="2:52" ht="15" customHeight="1" x14ac:dyDescent="0.45">
      <c r="B23" s="8" t="s">
        <v>128</v>
      </c>
      <c r="C23" s="30" t="s">
        <v>5</v>
      </c>
      <c r="D23" s="17" t="str">
        <f>IF('TECHNOLOGY REGISTER'!D24="","",'TECHNOLOGY REGISTER'!D24)</f>
        <v/>
      </c>
      <c r="E23" s="38"/>
      <c r="F23" s="24" t="s">
        <v>129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2:52" ht="15" customHeight="1" x14ac:dyDescent="0.45">
      <c r="B24" s="33" t="s">
        <v>128</v>
      </c>
      <c r="C24" s="29" t="s">
        <v>5</v>
      </c>
      <c r="D24" s="19" t="str">
        <f>IF('TECHNOLOGY REGISTER'!D25="","",'TECHNOLOGY REGISTER'!D25)</f>
        <v/>
      </c>
      <c r="E24" s="32"/>
      <c r="F24" s="32" t="s">
        <v>129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spans="2:52" ht="15" customHeight="1" x14ac:dyDescent="0.45">
      <c r="B25" s="8" t="s">
        <v>128</v>
      </c>
      <c r="C25" s="30" t="s">
        <v>5</v>
      </c>
      <c r="D25" s="17" t="str">
        <f>IF('TECHNOLOGY REGISTER'!D26="","",'TECHNOLOGY REGISTER'!D26)</f>
        <v/>
      </c>
      <c r="E25" s="38"/>
      <c r="F25" s="24" t="s">
        <v>129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2:52" ht="15" customHeight="1" x14ac:dyDescent="0.45">
      <c r="B26" s="33" t="s">
        <v>128</v>
      </c>
      <c r="C26" s="29" t="s">
        <v>5</v>
      </c>
      <c r="D26" s="19" t="str">
        <f>IF('TECHNOLOGY REGISTER'!D27="","",'TECHNOLOGY REGISTER'!D27)</f>
        <v/>
      </c>
      <c r="E26" s="32"/>
      <c r="F26" s="32" t="s">
        <v>129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spans="2:52" ht="15" customHeight="1" x14ac:dyDescent="0.45">
      <c r="B27" s="8" t="s">
        <v>128</v>
      </c>
      <c r="C27" s="30" t="s">
        <v>5</v>
      </c>
      <c r="D27" s="17" t="str">
        <f>IF('TECHNOLOGY REGISTER'!D28="","",'TECHNOLOGY REGISTER'!D28)</f>
        <v/>
      </c>
      <c r="E27" s="38"/>
      <c r="F27" s="24" t="s">
        <v>129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2:52" ht="15" customHeight="1" x14ac:dyDescent="0.45">
      <c r="B28" s="33" t="s">
        <v>128</v>
      </c>
      <c r="C28" s="29" t="s">
        <v>5</v>
      </c>
      <c r="D28" s="19" t="str">
        <f>IF('TECHNOLOGY REGISTER'!D29="","",'TECHNOLOGY REGISTER'!D29)</f>
        <v/>
      </c>
      <c r="E28" s="32"/>
      <c r="F28" s="32" t="s">
        <v>129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pans="2:52" ht="15" customHeight="1" x14ac:dyDescent="0.45">
      <c r="B29" s="8" t="s">
        <v>128</v>
      </c>
      <c r="C29" s="30" t="s">
        <v>5</v>
      </c>
      <c r="D29" s="17" t="str">
        <f>IF('TECHNOLOGY REGISTER'!D30="","",'TECHNOLOGY REGISTER'!D30)</f>
        <v/>
      </c>
      <c r="E29" s="38"/>
      <c r="F29" s="24" t="s">
        <v>129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2:52" ht="15" customHeight="1" x14ac:dyDescent="0.45">
      <c r="B30" s="33" t="s">
        <v>128</v>
      </c>
      <c r="C30" s="29" t="s">
        <v>5</v>
      </c>
      <c r="D30" s="19" t="str">
        <f>IF('TECHNOLOGY REGISTER'!D31="","",'TECHNOLOGY REGISTER'!D31)</f>
        <v/>
      </c>
      <c r="E30" s="32"/>
      <c r="F30" s="32" t="s">
        <v>129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spans="2:52" ht="15" customHeight="1" x14ac:dyDescent="0.45">
      <c r="B31" s="8" t="s">
        <v>128</v>
      </c>
      <c r="C31" s="30" t="s">
        <v>5</v>
      </c>
      <c r="D31" s="17" t="str">
        <f>IF('TECHNOLOGY REGISTER'!D32="","",'TECHNOLOGY REGISTER'!D32)</f>
        <v/>
      </c>
      <c r="E31" s="38"/>
      <c r="F31" s="24" t="s">
        <v>129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2:52" ht="15" customHeight="1" x14ac:dyDescent="0.45">
      <c r="B32" s="33" t="s">
        <v>128</v>
      </c>
      <c r="C32" s="29" t="s">
        <v>5</v>
      </c>
      <c r="D32" s="19" t="str">
        <f>IF('TECHNOLOGY REGISTER'!D33="","",'TECHNOLOGY REGISTER'!D33)</f>
        <v/>
      </c>
      <c r="E32" s="32"/>
      <c r="F32" s="32" t="s">
        <v>129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2:52" ht="15" customHeight="1" x14ac:dyDescent="0.45">
      <c r="B33" s="8" t="s">
        <v>128</v>
      </c>
      <c r="C33" s="30" t="s">
        <v>5</v>
      </c>
      <c r="D33" s="17" t="str">
        <f>IF('TECHNOLOGY REGISTER'!D34="","",'TECHNOLOGY REGISTER'!D34)</f>
        <v/>
      </c>
      <c r="E33" s="38"/>
      <c r="F33" s="24" t="s">
        <v>129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2:52" ht="15" customHeight="1" x14ac:dyDescent="0.45">
      <c r="B34" s="33" t="s">
        <v>128</v>
      </c>
      <c r="C34" s="29" t="s">
        <v>5</v>
      </c>
      <c r="D34" s="19" t="str">
        <f>IF('TECHNOLOGY REGISTER'!D35="","",'TECHNOLOGY REGISTER'!D35)</f>
        <v/>
      </c>
      <c r="E34" s="32"/>
      <c r="F34" s="32" t="s">
        <v>129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2:52" ht="15" customHeight="1" x14ac:dyDescent="0.45">
      <c r="B35" s="8" t="s">
        <v>128</v>
      </c>
      <c r="C35" s="30" t="s">
        <v>5</v>
      </c>
      <c r="D35" s="17" t="str">
        <f>IF('TECHNOLOGY REGISTER'!D36="","",'TECHNOLOGY REGISTER'!D36)</f>
        <v/>
      </c>
      <c r="E35" s="38"/>
      <c r="F35" s="24" t="s">
        <v>129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2:52" ht="15" customHeight="1" x14ac:dyDescent="0.45">
      <c r="B36" s="33" t="s">
        <v>128</v>
      </c>
      <c r="C36" s="29" t="s">
        <v>5</v>
      </c>
      <c r="D36" s="19" t="str">
        <f>IF('TECHNOLOGY REGISTER'!D37="","",'TECHNOLOGY REGISTER'!D37)</f>
        <v/>
      </c>
      <c r="E36" s="32"/>
      <c r="F36" s="32" t="s">
        <v>129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spans="2:52" ht="15" customHeight="1" x14ac:dyDescent="0.45">
      <c r="B37" s="8" t="s">
        <v>128</v>
      </c>
      <c r="C37" s="30" t="s">
        <v>5</v>
      </c>
      <c r="D37" s="17" t="str">
        <f>IF('TECHNOLOGY REGISTER'!D38="","",'TECHNOLOGY REGISTER'!D38)</f>
        <v/>
      </c>
      <c r="E37" s="38"/>
      <c r="F37" s="24" t="s">
        <v>129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</row>
    <row r="38" spans="2:52" ht="15" customHeight="1" x14ac:dyDescent="0.45">
      <c r="B38" s="33" t="s">
        <v>128</v>
      </c>
      <c r="C38" s="29" t="s">
        <v>5</v>
      </c>
      <c r="D38" s="19" t="str">
        <f>IF('TECHNOLOGY REGISTER'!D39="","",'TECHNOLOGY REGISTER'!D39)</f>
        <v/>
      </c>
      <c r="E38" s="32"/>
      <c r="F38" s="32" t="s">
        <v>129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pans="2:52" ht="15" customHeight="1" x14ac:dyDescent="0.45">
      <c r="B39" s="8" t="s">
        <v>128</v>
      </c>
      <c r="C39" s="30" t="s">
        <v>5</v>
      </c>
      <c r="D39" s="17" t="str">
        <f>IF('TECHNOLOGY REGISTER'!D40="","",'TECHNOLOGY REGISTER'!D40)</f>
        <v/>
      </c>
      <c r="E39" s="38"/>
      <c r="F39" s="24" t="s">
        <v>129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2:52" ht="15" customHeight="1" x14ac:dyDescent="0.45">
      <c r="B40" s="33" t="s">
        <v>128</v>
      </c>
      <c r="C40" s="29" t="s">
        <v>5</v>
      </c>
      <c r="D40" s="19" t="str">
        <f>IF('TECHNOLOGY REGISTER'!D41="","",'TECHNOLOGY REGISTER'!D41)</f>
        <v/>
      </c>
      <c r="E40" s="32"/>
      <c r="F40" s="32" t="s">
        <v>129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pans="2:52" ht="15" customHeight="1" x14ac:dyDescent="0.45">
      <c r="B41" s="8" t="s">
        <v>128</v>
      </c>
      <c r="C41" s="30" t="s">
        <v>5</v>
      </c>
      <c r="D41" s="17" t="str">
        <f>IF('TECHNOLOGY REGISTER'!D42="","",'TECHNOLOGY REGISTER'!D42)</f>
        <v/>
      </c>
      <c r="E41" s="38"/>
      <c r="F41" s="24" t="s">
        <v>129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2:52" ht="15" customHeight="1" x14ac:dyDescent="0.45">
      <c r="B42" s="33" t="s">
        <v>128</v>
      </c>
      <c r="C42" s="29" t="s">
        <v>5</v>
      </c>
      <c r="D42" s="19" t="str">
        <f>IF('TECHNOLOGY REGISTER'!D43="","",'TECHNOLOGY REGISTER'!D43)</f>
        <v/>
      </c>
      <c r="E42" s="32"/>
      <c r="F42" s="32" t="s">
        <v>129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2:52" ht="15" customHeight="1" x14ac:dyDescent="0.45">
      <c r="B43" s="8" t="s">
        <v>128</v>
      </c>
      <c r="C43" s="30" t="s">
        <v>5</v>
      </c>
      <c r="D43" s="17" t="str">
        <f>IF('TECHNOLOGY REGISTER'!D44="","",'TECHNOLOGY REGISTER'!D44)</f>
        <v/>
      </c>
      <c r="E43" s="38"/>
      <c r="F43" s="24" t="s">
        <v>129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</row>
    <row r="44" spans="2:52" ht="15" customHeight="1" x14ac:dyDescent="0.45">
      <c r="B44" s="33" t="s">
        <v>128</v>
      </c>
      <c r="C44" s="29" t="s">
        <v>5</v>
      </c>
      <c r="D44" s="19" t="str">
        <f>IF('TECHNOLOGY REGISTER'!D45="","",'TECHNOLOGY REGISTER'!D45)</f>
        <v/>
      </c>
      <c r="E44" s="32"/>
      <c r="F44" s="32" t="s">
        <v>129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pans="2:52" ht="15" customHeight="1" x14ac:dyDescent="0.45">
      <c r="B45" s="8" t="s">
        <v>128</v>
      </c>
      <c r="C45" s="30" t="s">
        <v>5</v>
      </c>
      <c r="D45" s="17" t="str">
        <f>IF('TECHNOLOGY REGISTER'!D46="","",'TECHNOLOGY REGISTER'!D46)</f>
        <v/>
      </c>
      <c r="E45" s="38"/>
      <c r="F45" s="24" t="s">
        <v>129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</row>
    <row r="46" spans="2:52" ht="15" customHeight="1" x14ac:dyDescent="0.45">
      <c r="B46" s="33" t="s">
        <v>128</v>
      </c>
      <c r="C46" s="29" t="s">
        <v>5</v>
      </c>
      <c r="D46" s="19" t="str">
        <f>IF('TECHNOLOGY REGISTER'!D47="","",'TECHNOLOGY REGISTER'!D47)</f>
        <v/>
      </c>
      <c r="E46" s="32"/>
      <c r="F46" s="32" t="s">
        <v>129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pans="2:52" ht="15" customHeight="1" x14ac:dyDescent="0.45">
      <c r="B47" s="8" t="s">
        <v>128</v>
      </c>
      <c r="C47" s="30" t="s">
        <v>5</v>
      </c>
      <c r="D47" s="17" t="str">
        <f>IF('TECHNOLOGY REGISTER'!D48="","",'TECHNOLOGY REGISTER'!D48)</f>
        <v/>
      </c>
      <c r="E47" s="38"/>
      <c r="F47" s="24" t="s">
        <v>129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</row>
    <row r="48" spans="2:52" ht="15" customHeight="1" x14ac:dyDescent="0.45">
      <c r="B48" s="33" t="s">
        <v>128</v>
      </c>
      <c r="C48" s="29" t="s">
        <v>5</v>
      </c>
      <c r="D48" s="19" t="str">
        <f>IF('TECHNOLOGY REGISTER'!D49="","",'TECHNOLOGY REGISTER'!D49)</f>
        <v/>
      </c>
      <c r="E48" s="32"/>
      <c r="F48" s="32" t="s">
        <v>129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pans="2:52" ht="15" customHeight="1" x14ac:dyDescent="0.45">
      <c r="B49" s="8" t="s">
        <v>128</v>
      </c>
      <c r="C49" s="30" t="s">
        <v>5</v>
      </c>
      <c r="D49" s="17" t="str">
        <f>IF('TECHNOLOGY REGISTER'!D50="","",'TECHNOLOGY REGISTER'!D50)</f>
        <v/>
      </c>
      <c r="E49" s="38"/>
      <c r="F49" s="24" t="s">
        <v>129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2:52" ht="15" customHeight="1" x14ac:dyDescent="0.45">
      <c r="B50" s="33" t="s">
        <v>128</v>
      </c>
      <c r="C50" s="29" t="s">
        <v>5</v>
      </c>
      <c r="D50" s="19" t="str">
        <f>IF('TECHNOLOGY REGISTER'!D51="","",'TECHNOLOGY REGISTER'!D51)</f>
        <v/>
      </c>
      <c r="E50" s="32"/>
      <c r="F50" s="32" t="s">
        <v>129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2:52" ht="15" customHeight="1" x14ac:dyDescent="0.45">
      <c r="B51" s="8" t="s">
        <v>128</v>
      </c>
      <c r="C51" s="30" t="s">
        <v>5</v>
      </c>
      <c r="D51" s="17" t="str">
        <f>IF('TECHNOLOGY REGISTER'!D52="","",'TECHNOLOGY REGISTER'!D52)</f>
        <v/>
      </c>
      <c r="E51" s="38"/>
      <c r="F51" s="24" t="s">
        <v>129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</row>
    <row r="52" spans="2:52" ht="15" customHeight="1" x14ac:dyDescent="0.45">
      <c r="B52" s="33" t="s">
        <v>128</v>
      </c>
      <c r="C52" s="29" t="s">
        <v>5</v>
      </c>
      <c r="D52" s="19" t="str">
        <f>IF('TECHNOLOGY REGISTER'!D53="","",'TECHNOLOGY REGISTER'!D53)</f>
        <v/>
      </c>
      <c r="E52" s="32"/>
      <c r="F52" s="32" t="s">
        <v>129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spans="2:52" ht="15" customHeight="1" x14ac:dyDescent="0.45">
      <c r="B53" s="8" t="s">
        <v>128</v>
      </c>
      <c r="C53" s="30" t="s">
        <v>5</v>
      </c>
      <c r="D53" s="17" t="str">
        <f>IF('TECHNOLOGY REGISTER'!D54="","",'TECHNOLOGY REGISTER'!D54)</f>
        <v/>
      </c>
      <c r="E53" s="38"/>
      <c r="F53" s="24" t="s">
        <v>129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</row>
    <row r="54" spans="2:52" ht="15" customHeight="1" x14ac:dyDescent="0.45">
      <c r="B54" s="33" t="s">
        <v>128</v>
      </c>
      <c r="C54" s="29" t="s">
        <v>5</v>
      </c>
      <c r="D54" s="19" t="str">
        <f>IF('TECHNOLOGY REGISTER'!D55="","",'TECHNOLOGY REGISTER'!D55)</f>
        <v/>
      </c>
      <c r="E54" s="32"/>
      <c r="F54" s="32" t="s">
        <v>129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spans="2:52" ht="15" customHeight="1" thickBot="1" x14ac:dyDescent="0.5">
      <c r="B55" s="8" t="s">
        <v>128</v>
      </c>
      <c r="C55" s="30" t="s">
        <v>5</v>
      </c>
      <c r="D55" s="17" t="str">
        <f>IF('TECHNOLOGY REGISTER'!D56="","",'TECHNOLOGY REGISTER'!D56)</f>
        <v/>
      </c>
      <c r="E55" s="38"/>
      <c r="F55" s="24" t="s">
        <v>129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2:52" customFormat="1" ht="20" customHeight="1" x14ac:dyDescent="0.5">
      <c r="B56" s="69" t="s">
        <v>146</v>
      </c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</row>
    <row r="57" spans="2:52" ht="17" customHeight="1" x14ac:dyDescent="0.45">
      <c r="B57" s="33" t="s">
        <v>130</v>
      </c>
      <c r="C57" s="29" t="s">
        <v>5</v>
      </c>
      <c r="D57" s="19" t="str">
        <f>IF('TECHNOLOGY REGISTER'!D7="","",'TECHNOLOGY REGISTER'!D7)</f>
        <v>Biomass</v>
      </c>
      <c r="E57" s="32"/>
      <c r="F57" s="32" t="s">
        <v>98</v>
      </c>
      <c r="G57" s="36">
        <v>1</v>
      </c>
      <c r="H57" s="36">
        <v>1</v>
      </c>
      <c r="I57" s="36">
        <v>1</v>
      </c>
      <c r="J57" s="36">
        <v>1</v>
      </c>
      <c r="K57" s="36">
        <v>1</v>
      </c>
      <c r="L57" s="36">
        <v>1</v>
      </c>
      <c r="M57" s="36">
        <v>1</v>
      </c>
      <c r="N57" s="36">
        <v>1</v>
      </c>
      <c r="O57" s="36">
        <v>1</v>
      </c>
      <c r="P57" s="36">
        <v>1</v>
      </c>
      <c r="Q57" s="36">
        <v>1</v>
      </c>
      <c r="R57" s="36">
        <v>1</v>
      </c>
      <c r="S57" s="36">
        <v>1</v>
      </c>
      <c r="T57" s="36">
        <v>1</v>
      </c>
      <c r="U57" s="36">
        <v>1</v>
      </c>
      <c r="V57" s="36">
        <v>1</v>
      </c>
      <c r="W57" s="36">
        <v>1</v>
      </c>
      <c r="X57" s="36">
        <v>1</v>
      </c>
      <c r="Y57" s="36">
        <v>1</v>
      </c>
      <c r="Z57" s="36">
        <v>1</v>
      </c>
      <c r="AA57" s="36">
        <v>1</v>
      </c>
      <c r="AB57" s="36">
        <v>1</v>
      </c>
      <c r="AC57" s="36">
        <v>1</v>
      </c>
      <c r="AD57" s="36">
        <v>1</v>
      </c>
      <c r="AE57" s="36">
        <v>1</v>
      </c>
      <c r="AF57" s="36">
        <v>1</v>
      </c>
      <c r="AG57" s="36">
        <v>1</v>
      </c>
      <c r="AH57" s="36">
        <v>1</v>
      </c>
      <c r="AI57" s="36">
        <v>1</v>
      </c>
      <c r="AJ57" s="36">
        <v>1</v>
      </c>
      <c r="AK57" s="36">
        <v>1</v>
      </c>
      <c r="AL57" s="36">
        <v>1</v>
      </c>
      <c r="AM57" s="36">
        <v>1</v>
      </c>
      <c r="AN57" s="36">
        <v>1</v>
      </c>
      <c r="AO57" s="36">
        <v>1</v>
      </c>
      <c r="AP57" s="36">
        <v>1</v>
      </c>
      <c r="AQ57" s="36">
        <v>1</v>
      </c>
      <c r="AR57" s="36">
        <v>1</v>
      </c>
      <c r="AS57" s="36">
        <v>1</v>
      </c>
      <c r="AT57" s="36">
        <v>1</v>
      </c>
      <c r="AU57" s="36">
        <v>1</v>
      </c>
      <c r="AV57" s="36">
        <v>1</v>
      </c>
      <c r="AW57" s="36">
        <v>1</v>
      </c>
      <c r="AX57" s="36">
        <v>1</v>
      </c>
      <c r="AY57" s="36">
        <v>1</v>
      </c>
      <c r="AZ57" s="36">
        <v>1</v>
      </c>
    </row>
    <row r="58" spans="2:52" ht="17" customHeight="1" x14ac:dyDescent="0.45">
      <c r="B58" s="8" t="s">
        <v>130</v>
      </c>
      <c r="C58" s="30" t="s">
        <v>5</v>
      </c>
      <c r="D58" s="17" t="str">
        <f>IF('TECHNOLOGY REGISTER'!D8="","",'TECHNOLOGY REGISTER'!D8)</f>
        <v>Geothermal</v>
      </c>
      <c r="E58" s="38"/>
      <c r="F58" s="24" t="s">
        <v>98</v>
      </c>
      <c r="G58" s="37">
        <v>1</v>
      </c>
      <c r="H58" s="37">
        <v>1</v>
      </c>
      <c r="I58" s="37">
        <v>1</v>
      </c>
      <c r="J58" s="37">
        <v>1</v>
      </c>
      <c r="K58" s="37">
        <v>1</v>
      </c>
      <c r="L58" s="37">
        <v>1</v>
      </c>
      <c r="M58" s="37">
        <v>1</v>
      </c>
      <c r="N58" s="37">
        <v>1</v>
      </c>
      <c r="O58" s="37">
        <v>1</v>
      </c>
      <c r="P58" s="37">
        <v>1</v>
      </c>
      <c r="Q58" s="37">
        <v>1</v>
      </c>
      <c r="R58" s="37">
        <v>1</v>
      </c>
      <c r="S58" s="37">
        <v>1</v>
      </c>
      <c r="T58" s="37">
        <v>1</v>
      </c>
      <c r="U58" s="37">
        <v>1</v>
      </c>
      <c r="V58" s="37">
        <v>1</v>
      </c>
      <c r="W58" s="37">
        <v>1</v>
      </c>
      <c r="X58" s="37">
        <v>1</v>
      </c>
      <c r="Y58" s="37">
        <v>1</v>
      </c>
      <c r="Z58" s="37">
        <v>1</v>
      </c>
      <c r="AA58" s="37">
        <v>1</v>
      </c>
      <c r="AB58" s="37">
        <v>1</v>
      </c>
      <c r="AC58" s="37">
        <v>1</v>
      </c>
      <c r="AD58" s="37">
        <v>1</v>
      </c>
      <c r="AE58" s="37">
        <v>1</v>
      </c>
      <c r="AF58" s="37">
        <v>1</v>
      </c>
      <c r="AG58" s="37">
        <v>1</v>
      </c>
      <c r="AH58" s="37">
        <v>1</v>
      </c>
      <c r="AI58" s="37">
        <v>1</v>
      </c>
      <c r="AJ58" s="37">
        <v>1</v>
      </c>
      <c r="AK58" s="37">
        <v>1</v>
      </c>
      <c r="AL58" s="37">
        <v>1</v>
      </c>
      <c r="AM58" s="37">
        <v>1</v>
      </c>
      <c r="AN58" s="37">
        <v>1</v>
      </c>
      <c r="AO58" s="37">
        <v>1</v>
      </c>
      <c r="AP58" s="37">
        <v>1</v>
      </c>
      <c r="AQ58" s="37">
        <v>1</v>
      </c>
      <c r="AR58" s="37">
        <v>1</v>
      </c>
      <c r="AS58" s="37">
        <v>1</v>
      </c>
      <c r="AT58" s="37">
        <v>1</v>
      </c>
      <c r="AU58" s="37">
        <v>1</v>
      </c>
      <c r="AV58" s="37">
        <v>1</v>
      </c>
      <c r="AW58" s="37">
        <v>1</v>
      </c>
      <c r="AX58" s="37">
        <v>1</v>
      </c>
      <c r="AY58" s="37">
        <v>1</v>
      </c>
      <c r="AZ58" s="37">
        <v>1</v>
      </c>
    </row>
    <row r="59" spans="2:52" ht="17" customHeight="1" x14ac:dyDescent="0.45">
      <c r="B59" s="33" t="s">
        <v>130</v>
      </c>
      <c r="C59" s="29" t="s">
        <v>5</v>
      </c>
      <c r="D59" s="19" t="str">
        <f>IF('TECHNOLOGY REGISTER'!D9="","",'TECHNOLOGY REGISTER'!D9)</f>
        <v>Solar PV</v>
      </c>
      <c r="E59" s="32"/>
      <c r="F59" s="32" t="s">
        <v>98</v>
      </c>
      <c r="G59" s="36">
        <v>1</v>
      </c>
      <c r="H59" s="36">
        <v>1</v>
      </c>
      <c r="I59" s="36">
        <v>1</v>
      </c>
      <c r="J59" s="36">
        <v>1</v>
      </c>
      <c r="K59" s="36">
        <v>1</v>
      </c>
      <c r="L59" s="36">
        <v>1</v>
      </c>
      <c r="M59" s="36">
        <v>1</v>
      </c>
      <c r="N59" s="36">
        <v>1</v>
      </c>
      <c r="O59" s="36">
        <v>1</v>
      </c>
      <c r="P59" s="36">
        <v>1</v>
      </c>
      <c r="Q59" s="36">
        <v>1</v>
      </c>
      <c r="R59" s="36">
        <v>1</v>
      </c>
      <c r="S59" s="36">
        <v>1</v>
      </c>
      <c r="T59" s="36">
        <v>1</v>
      </c>
      <c r="U59" s="36">
        <v>1</v>
      </c>
      <c r="V59" s="36">
        <v>1</v>
      </c>
      <c r="W59" s="36">
        <v>1</v>
      </c>
      <c r="X59" s="36">
        <v>1</v>
      </c>
      <c r="Y59" s="36">
        <v>1</v>
      </c>
      <c r="Z59" s="36">
        <v>1</v>
      </c>
      <c r="AA59" s="36">
        <v>1</v>
      </c>
      <c r="AB59" s="36">
        <v>1</v>
      </c>
      <c r="AC59" s="36">
        <v>1</v>
      </c>
      <c r="AD59" s="36">
        <v>1</v>
      </c>
      <c r="AE59" s="36">
        <v>1</v>
      </c>
      <c r="AF59" s="36">
        <v>1</v>
      </c>
      <c r="AG59" s="36">
        <v>1</v>
      </c>
      <c r="AH59" s="36">
        <v>1</v>
      </c>
      <c r="AI59" s="36">
        <v>1</v>
      </c>
      <c r="AJ59" s="36">
        <v>1</v>
      </c>
      <c r="AK59" s="36">
        <v>1</v>
      </c>
      <c r="AL59" s="36">
        <v>1</v>
      </c>
      <c r="AM59" s="36">
        <v>1</v>
      </c>
      <c r="AN59" s="36">
        <v>1</v>
      </c>
      <c r="AO59" s="36">
        <v>1</v>
      </c>
      <c r="AP59" s="36">
        <v>1</v>
      </c>
      <c r="AQ59" s="36">
        <v>1</v>
      </c>
      <c r="AR59" s="36">
        <v>1</v>
      </c>
      <c r="AS59" s="36">
        <v>1</v>
      </c>
      <c r="AT59" s="36">
        <v>1</v>
      </c>
      <c r="AU59" s="36">
        <v>1</v>
      </c>
      <c r="AV59" s="36">
        <v>1</v>
      </c>
      <c r="AW59" s="36">
        <v>1</v>
      </c>
      <c r="AX59" s="36">
        <v>1</v>
      </c>
      <c r="AY59" s="36">
        <v>1</v>
      </c>
      <c r="AZ59" s="36">
        <v>1</v>
      </c>
    </row>
    <row r="60" spans="2:52" ht="17" customHeight="1" x14ac:dyDescent="0.45">
      <c r="B60" s="8" t="s">
        <v>130</v>
      </c>
      <c r="C60" s="30" t="s">
        <v>5</v>
      </c>
      <c r="D60" s="17" t="str">
        <f>IF('TECHNOLOGY REGISTER'!D10="","",'TECHNOLOGY REGISTER'!D10)</f>
        <v>CSP</v>
      </c>
      <c r="E60" s="38"/>
      <c r="F60" s="24" t="s">
        <v>98</v>
      </c>
      <c r="G60" s="37">
        <v>0.96767143995596416</v>
      </c>
      <c r="H60" s="37">
        <v>0.94215140462020863</v>
      </c>
      <c r="I60" s="37">
        <v>0.93126077262448803</v>
      </c>
      <c r="J60" s="37">
        <v>0.92823705571755066</v>
      </c>
      <c r="K60" s="37">
        <v>0.92109420210519732</v>
      </c>
      <c r="L60" s="37">
        <v>0.88733529708676429</v>
      </c>
      <c r="M60" s="37">
        <v>0.86304451364718815</v>
      </c>
      <c r="N60" s="37">
        <v>0.84801359309977387</v>
      </c>
      <c r="O60" s="37">
        <v>0.82265758686921597</v>
      </c>
      <c r="P60" s="37">
        <v>0.7466970964878914</v>
      </c>
      <c r="Q60" s="37">
        <v>0.72699441409746013</v>
      </c>
      <c r="R60" s="37">
        <v>0.69563779397347014</v>
      </c>
      <c r="S60" s="37">
        <v>0.69242345859003906</v>
      </c>
      <c r="T60" s="37">
        <v>0.69926798425542769</v>
      </c>
      <c r="U60" s="37">
        <v>0.69643986920761813</v>
      </c>
      <c r="V60" s="37">
        <v>0.64404370030948921</v>
      </c>
      <c r="W60" s="37">
        <v>0.63859641513321264</v>
      </c>
      <c r="X60" s="37">
        <v>0.60190529626998857</v>
      </c>
      <c r="Y60" s="37">
        <v>0.59668285986473446</v>
      </c>
      <c r="Z60" s="37">
        <v>0.59073015277907959</v>
      </c>
      <c r="AA60" s="37">
        <v>0.58434597175622505</v>
      </c>
      <c r="AB60" s="37">
        <v>0.57781674201662847</v>
      </c>
      <c r="AC60" s="37">
        <v>0.56015131567983723</v>
      </c>
      <c r="AD60" s="37">
        <v>0.54586890268658017</v>
      </c>
      <c r="AE60" s="37">
        <v>0.53538056405028878</v>
      </c>
      <c r="AF60" s="37">
        <v>0.51105322373022233</v>
      </c>
      <c r="AG60" s="37">
        <v>0.50201872862412822</v>
      </c>
      <c r="AH60" s="37">
        <v>0.49216412629154038</v>
      </c>
      <c r="AI60" s="37">
        <v>0.4881307361654339</v>
      </c>
      <c r="AJ60" s="37">
        <v>0.48442806838871466</v>
      </c>
      <c r="AK60" s="37">
        <v>0.48146043811233552</v>
      </c>
      <c r="AL60" s="37">
        <v>0.47911588769949298</v>
      </c>
      <c r="AM60" s="37">
        <v>0.47679163297824556</v>
      </c>
      <c r="AN60" s="37">
        <v>0.47447195938474851</v>
      </c>
      <c r="AO60" s="37">
        <v>0.47219464683736345</v>
      </c>
      <c r="AP60" s="37">
        <v>0.4698230476066233</v>
      </c>
      <c r="AQ60" s="37">
        <v>0.46774619991001321</v>
      </c>
      <c r="AR60" s="37">
        <v>0.46550705369672796</v>
      </c>
      <c r="AS60" s="37">
        <v>0.46330840056604117</v>
      </c>
      <c r="AT60" s="37">
        <v>0.46112409286501466</v>
      </c>
      <c r="AU60" s="37">
        <v>0.45897072946488304</v>
      </c>
      <c r="AV60" s="37">
        <v>0.45683945382224755</v>
      </c>
      <c r="AW60" s="37">
        <v>0.45472993082549451</v>
      </c>
      <c r="AX60" s="37">
        <v>0.45263573685722491</v>
      </c>
      <c r="AY60" s="37">
        <v>0.450564769802688</v>
      </c>
      <c r="AZ60" s="37">
        <v>0.44825946061282274</v>
      </c>
    </row>
    <row r="61" spans="2:52" ht="17" customHeight="1" x14ac:dyDescent="0.45">
      <c r="B61" s="33" t="s">
        <v>130</v>
      </c>
      <c r="C61" s="29" t="s">
        <v>5</v>
      </c>
      <c r="D61" s="19" t="str">
        <f>IF('TECHNOLOGY REGISTER'!D11="","",'TECHNOLOGY REGISTER'!D11)</f>
        <v>Hydropower</v>
      </c>
      <c r="E61" s="32"/>
      <c r="F61" s="32" t="s">
        <v>98</v>
      </c>
      <c r="G61" s="36">
        <v>1</v>
      </c>
      <c r="H61" s="36">
        <v>1</v>
      </c>
      <c r="I61" s="36">
        <v>1</v>
      </c>
      <c r="J61" s="36">
        <v>1</v>
      </c>
      <c r="K61" s="36">
        <v>1</v>
      </c>
      <c r="L61" s="36">
        <v>1</v>
      </c>
      <c r="M61" s="36">
        <v>1</v>
      </c>
      <c r="N61" s="36">
        <v>1</v>
      </c>
      <c r="O61" s="36">
        <v>1</v>
      </c>
      <c r="P61" s="36">
        <v>1</v>
      </c>
      <c r="Q61" s="36">
        <v>1</v>
      </c>
      <c r="R61" s="36">
        <v>1</v>
      </c>
      <c r="S61" s="36">
        <v>1</v>
      </c>
      <c r="T61" s="36">
        <v>1</v>
      </c>
      <c r="U61" s="36">
        <v>1</v>
      </c>
      <c r="V61" s="36">
        <v>1</v>
      </c>
      <c r="W61" s="36">
        <v>1</v>
      </c>
      <c r="X61" s="36">
        <v>1</v>
      </c>
      <c r="Y61" s="36">
        <v>1</v>
      </c>
      <c r="Z61" s="36">
        <v>1</v>
      </c>
      <c r="AA61" s="36">
        <v>1</v>
      </c>
      <c r="AB61" s="36">
        <v>1</v>
      </c>
      <c r="AC61" s="36">
        <v>1</v>
      </c>
      <c r="AD61" s="36">
        <v>1</v>
      </c>
      <c r="AE61" s="36">
        <v>1</v>
      </c>
      <c r="AF61" s="36">
        <v>1</v>
      </c>
      <c r="AG61" s="36">
        <v>1</v>
      </c>
      <c r="AH61" s="36">
        <v>1</v>
      </c>
      <c r="AI61" s="36">
        <v>1</v>
      </c>
      <c r="AJ61" s="36">
        <v>1</v>
      </c>
      <c r="AK61" s="36">
        <v>1</v>
      </c>
      <c r="AL61" s="36">
        <v>1</v>
      </c>
      <c r="AM61" s="36">
        <v>1</v>
      </c>
      <c r="AN61" s="36">
        <v>1</v>
      </c>
      <c r="AO61" s="36">
        <v>1</v>
      </c>
      <c r="AP61" s="36">
        <v>1</v>
      </c>
      <c r="AQ61" s="36">
        <v>1</v>
      </c>
      <c r="AR61" s="36">
        <v>1</v>
      </c>
      <c r="AS61" s="36">
        <v>1</v>
      </c>
      <c r="AT61" s="36">
        <v>1</v>
      </c>
      <c r="AU61" s="36">
        <v>1</v>
      </c>
      <c r="AV61" s="36">
        <v>1</v>
      </c>
      <c r="AW61" s="36">
        <v>1</v>
      </c>
      <c r="AX61" s="36">
        <v>1</v>
      </c>
      <c r="AY61" s="36">
        <v>1</v>
      </c>
      <c r="AZ61" s="36">
        <v>1</v>
      </c>
    </row>
    <row r="62" spans="2:52" ht="17" customHeight="1" x14ac:dyDescent="0.45">
      <c r="B62" s="8" t="s">
        <v>130</v>
      </c>
      <c r="C62" s="30" t="s">
        <v>5</v>
      </c>
      <c r="D62" s="17" t="str">
        <f>IF('TECHNOLOGY REGISTER'!D12="","",'TECHNOLOGY REGISTER'!D12)</f>
        <v>Nuclear</v>
      </c>
      <c r="E62" s="38"/>
      <c r="F62" s="24" t="s">
        <v>98</v>
      </c>
      <c r="G62" s="37">
        <v>1</v>
      </c>
      <c r="H62" s="37">
        <v>1</v>
      </c>
      <c r="I62" s="37">
        <v>1</v>
      </c>
      <c r="J62" s="37">
        <v>1</v>
      </c>
      <c r="K62" s="37">
        <v>1</v>
      </c>
      <c r="L62" s="37">
        <v>1</v>
      </c>
      <c r="M62" s="37">
        <v>1</v>
      </c>
      <c r="N62" s="37">
        <v>1</v>
      </c>
      <c r="O62" s="37">
        <v>1</v>
      </c>
      <c r="P62" s="37">
        <v>1</v>
      </c>
      <c r="Q62" s="37">
        <v>1</v>
      </c>
      <c r="R62" s="37">
        <v>1</v>
      </c>
      <c r="S62" s="37">
        <v>1</v>
      </c>
      <c r="T62" s="37">
        <v>1</v>
      </c>
      <c r="U62" s="37">
        <v>1</v>
      </c>
      <c r="V62" s="37">
        <v>1</v>
      </c>
      <c r="W62" s="37">
        <v>1</v>
      </c>
      <c r="X62" s="37">
        <v>1</v>
      </c>
      <c r="Y62" s="37">
        <v>1</v>
      </c>
      <c r="Z62" s="37">
        <v>1</v>
      </c>
      <c r="AA62" s="37">
        <v>1</v>
      </c>
      <c r="AB62" s="37">
        <v>1</v>
      </c>
      <c r="AC62" s="37">
        <v>1</v>
      </c>
      <c r="AD62" s="37">
        <v>1</v>
      </c>
      <c r="AE62" s="37">
        <v>1</v>
      </c>
      <c r="AF62" s="37">
        <v>1</v>
      </c>
      <c r="AG62" s="37">
        <v>1</v>
      </c>
      <c r="AH62" s="37">
        <v>1</v>
      </c>
      <c r="AI62" s="37">
        <v>1</v>
      </c>
      <c r="AJ62" s="37">
        <v>1</v>
      </c>
      <c r="AK62" s="37">
        <v>1</v>
      </c>
      <c r="AL62" s="37">
        <v>1</v>
      </c>
      <c r="AM62" s="37">
        <v>1</v>
      </c>
      <c r="AN62" s="37">
        <v>1</v>
      </c>
      <c r="AO62" s="37">
        <v>1</v>
      </c>
      <c r="AP62" s="37">
        <v>1</v>
      </c>
      <c r="AQ62" s="37">
        <v>1</v>
      </c>
      <c r="AR62" s="37">
        <v>1</v>
      </c>
      <c r="AS62" s="37">
        <v>1</v>
      </c>
      <c r="AT62" s="37">
        <v>1</v>
      </c>
      <c r="AU62" s="37">
        <v>1</v>
      </c>
      <c r="AV62" s="37">
        <v>1</v>
      </c>
      <c r="AW62" s="37">
        <v>1</v>
      </c>
      <c r="AX62" s="37">
        <v>1</v>
      </c>
      <c r="AY62" s="37">
        <v>1</v>
      </c>
      <c r="AZ62" s="37">
        <v>1</v>
      </c>
    </row>
    <row r="63" spans="2:52" ht="17" customHeight="1" x14ac:dyDescent="0.45">
      <c r="B63" s="33" t="s">
        <v>130</v>
      </c>
      <c r="C63" s="29" t="s">
        <v>5</v>
      </c>
      <c r="D63" s="19" t="str">
        <f>IF('TECHNOLOGY REGISTER'!D13="","",'TECHNOLOGY REGISTER'!D13)</f>
        <v>Wind</v>
      </c>
      <c r="E63" s="32"/>
      <c r="F63" s="32" t="s">
        <v>98</v>
      </c>
      <c r="G63" s="36">
        <v>1</v>
      </c>
      <c r="H63" s="36">
        <v>1</v>
      </c>
      <c r="I63" s="36">
        <v>1</v>
      </c>
      <c r="J63" s="36">
        <v>1</v>
      </c>
      <c r="K63" s="36">
        <v>1</v>
      </c>
      <c r="L63" s="36">
        <v>1</v>
      </c>
      <c r="M63" s="36">
        <v>1</v>
      </c>
      <c r="N63" s="36">
        <v>1</v>
      </c>
      <c r="O63" s="36">
        <v>1</v>
      </c>
      <c r="P63" s="36">
        <v>1</v>
      </c>
      <c r="Q63" s="36">
        <v>1</v>
      </c>
      <c r="R63" s="36">
        <v>1</v>
      </c>
      <c r="S63" s="36">
        <v>1</v>
      </c>
      <c r="T63" s="36">
        <v>1</v>
      </c>
      <c r="U63" s="36">
        <v>1</v>
      </c>
      <c r="V63" s="36">
        <v>1</v>
      </c>
      <c r="W63" s="36">
        <v>1</v>
      </c>
      <c r="X63" s="36">
        <v>1</v>
      </c>
      <c r="Y63" s="36">
        <v>1</v>
      </c>
      <c r="Z63" s="36">
        <v>1</v>
      </c>
      <c r="AA63" s="36">
        <v>1</v>
      </c>
      <c r="AB63" s="36">
        <v>1</v>
      </c>
      <c r="AC63" s="36">
        <v>1</v>
      </c>
      <c r="AD63" s="36">
        <v>1</v>
      </c>
      <c r="AE63" s="36">
        <v>1</v>
      </c>
      <c r="AF63" s="36">
        <v>1</v>
      </c>
      <c r="AG63" s="36">
        <v>1</v>
      </c>
      <c r="AH63" s="36">
        <v>1</v>
      </c>
      <c r="AI63" s="36">
        <v>1</v>
      </c>
      <c r="AJ63" s="36">
        <v>1</v>
      </c>
      <c r="AK63" s="36">
        <v>1</v>
      </c>
      <c r="AL63" s="36">
        <v>1</v>
      </c>
      <c r="AM63" s="36">
        <v>1</v>
      </c>
      <c r="AN63" s="36">
        <v>1</v>
      </c>
      <c r="AO63" s="36">
        <v>1</v>
      </c>
      <c r="AP63" s="36">
        <v>1</v>
      </c>
      <c r="AQ63" s="36">
        <v>1</v>
      </c>
      <c r="AR63" s="36">
        <v>1</v>
      </c>
      <c r="AS63" s="36">
        <v>1</v>
      </c>
      <c r="AT63" s="36">
        <v>1</v>
      </c>
      <c r="AU63" s="36">
        <v>1</v>
      </c>
      <c r="AV63" s="36">
        <v>1</v>
      </c>
      <c r="AW63" s="36">
        <v>1</v>
      </c>
      <c r="AX63" s="36">
        <v>1</v>
      </c>
      <c r="AY63" s="36">
        <v>1</v>
      </c>
      <c r="AZ63" s="36">
        <v>1</v>
      </c>
    </row>
    <row r="64" spans="2:52" ht="17" customHeight="1" x14ac:dyDescent="0.45">
      <c r="B64" s="8" t="s">
        <v>130</v>
      </c>
      <c r="C64" s="30" t="s">
        <v>5</v>
      </c>
      <c r="D64" s="17" t="str">
        <f>IF('TECHNOLOGY REGISTER'!D14="","",'TECHNOLOGY REGISTER'!D14)</f>
        <v>Coal</v>
      </c>
      <c r="E64" s="38"/>
      <c r="F64" s="24" t="s">
        <v>98</v>
      </c>
      <c r="G64" s="37">
        <v>1</v>
      </c>
      <c r="H64" s="37">
        <v>1</v>
      </c>
      <c r="I64" s="37">
        <v>1</v>
      </c>
      <c r="J64" s="37">
        <v>1</v>
      </c>
      <c r="K64" s="37">
        <v>1</v>
      </c>
      <c r="L64" s="37">
        <v>1</v>
      </c>
      <c r="M64" s="37">
        <v>1</v>
      </c>
      <c r="N64" s="37">
        <v>1</v>
      </c>
      <c r="O64" s="37">
        <v>1</v>
      </c>
      <c r="P64" s="37">
        <v>1</v>
      </c>
      <c r="Q64" s="37">
        <v>1</v>
      </c>
      <c r="R64" s="37">
        <v>1</v>
      </c>
      <c r="S64" s="37">
        <v>1</v>
      </c>
      <c r="T64" s="37">
        <v>1</v>
      </c>
      <c r="U64" s="37">
        <v>1</v>
      </c>
      <c r="V64" s="37">
        <v>1</v>
      </c>
      <c r="W64" s="37">
        <v>1</v>
      </c>
      <c r="X64" s="37">
        <v>1</v>
      </c>
      <c r="Y64" s="37">
        <v>1</v>
      </c>
      <c r="Z64" s="37">
        <v>1</v>
      </c>
      <c r="AA64" s="37">
        <v>1</v>
      </c>
      <c r="AB64" s="37">
        <v>1</v>
      </c>
      <c r="AC64" s="37">
        <v>1</v>
      </c>
      <c r="AD64" s="37">
        <v>1</v>
      </c>
      <c r="AE64" s="37">
        <v>1</v>
      </c>
      <c r="AF64" s="37">
        <v>1</v>
      </c>
      <c r="AG64" s="37">
        <v>1</v>
      </c>
      <c r="AH64" s="37">
        <v>1</v>
      </c>
      <c r="AI64" s="37">
        <v>1</v>
      </c>
      <c r="AJ64" s="37">
        <v>1</v>
      </c>
      <c r="AK64" s="37">
        <v>1</v>
      </c>
      <c r="AL64" s="37">
        <v>1</v>
      </c>
      <c r="AM64" s="37">
        <v>1</v>
      </c>
      <c r="AN64" s="37">
        <v>1</v>
      </c>
      <c r="AO64" s="37">
        <v>1</v>
      </c>
      <c r="AP64" s="37">
        <v>1</v>
      </c>
      <c r="AQ64" s="37">
        <v>1</v>
      </c>
      <c r="AR64" s="37">
        <v>1</v>
      </c>
      <c r="AS64" s="37">
        <v>1</v>
      </c>
      <c r="AT64" s="37">
        <v>1</v>
      </c>
      <c r="AU64" s="37">
        <v>1</v>
      </c>
      <c r="AV64" s="37">
        <v>1</v>
      </c>
      <c r="AW64" s="37">
        <v>1</v>
      </c>
      <c r="AX64" s="37">
        <v>1</v>
      </c>
      <c r="AY64" s="37">
        <v>1</v>
      </c>
      <c r="AZ64" s="37">
        <v>1</v>
      </c>
    </row>
    <row r="65" spans="2:52" ht="17" customHeight="1" x14ac:dyDescent="0.45">
      <c r="B65" s="33" t="s">
        <v>130</v>
      </c>
      <c r="C65" s="29" t="s">
        <v>5</v>
      </c>
      <c r="D65" s="19" t="str">
        <f>IF('TECHNOLOGY REGISTER'!D15="","",'TECHNOLOGY REGISTER'!D15)</f>
        <v>Oil</v>
      </c>
      <c r="E65" s="32"/>
      <c r="F65" s="32" t="s">
        <v>98</v>
      </c>
      <c r="G65" s="36">
        <v>1</v>
      </c>
      <c r="H65" s="36">
        <v>1</v>
      </c>
      <c r="I65" s="36">
        <v>1</v>
      </c>
      <c r="J65" s="36">
        <v>1</v>
      </c>
      <c r="K65" s="36">
        <v>1</v>
      </c>
      <c r="L65" s="36">
        <v>1</v>
      </c>
      <c r="M65" s="36">
        <v>1</v>
      </c>
      <c r="N65" s="36">
        <v>1</v>
      </c>
      <c r="O65" s="36">
        <v>1</v>
      </c>
      <c r="P65" s="36">
        <v>1</v>
      </c>
      <c r="Q65" s="36">
        <v>1</v>
      </c>
      <c r="R65" s="36">
        <v>1</v>
      </c>
      <c r="S65" s="36">
        <v>1</v>
      </c>
      <c r="T65" s="36">
        <v>1</v>
      </c>
      <c r="U65" s="36">
        <v>1</v>
      </c>
      <c r="V65" s="36">
        <v>1</v>
      </c>
      <c r="W65" s="36">
        <v>1</v>
      </c>
      <c r="X65" s="36">
        <v>1</v>
      </c>
      <c r="Y65" s="36">
        <v>1</v>
      </c>
      <c r="Z65" s="36">
        <v>1</v>
      </c>
      <c r="AA65" s="36">
        <v>1</v>
      </c>
      <c r="AB65" s="36">
        <v>1</v>
      </c>
      <c r="AC65" s="36">
        <v>1</v>
      </c>
      <c r="AD65" s="36">
        <v>1</v>
      </c>
      <c r="AE65" s="36">
        <v>1</v>
      </c>
      <c r="AF65" s="36">
        <v>1</v>
      </c>
      <c r="AG65" s="36">
        <v>1</v>
      </c>
      <c r="AH65" s="36">
        <v>1</v>
      </c>
      <c r="AI65" s="36">
        <v>1</v>
      </c>
      <c r="AJ65" s="36">
        <v>1</v>
      </c>
      <c r="AK65" s="36">
        <v>1</v>
      </c>
      <c r="AL65" s="36">
        <v>1</v>
      </c>
      <c r="AM65" s="36">
        <v>1</v>
      </c>
      <c r="AN65" s="36">
        <v>1</v>
      </c>
      <c r="AO65" s="36">
        <v>1</v>
      </c>
      <c r="AP65" s="36">
        <v>1</v>
      </c>
      <c r="AQ65" s="36">
        <v>1</v>
      </c>
      <c r="AR65" s="36">
        <v>1</v>
      </c>
      <c r="AS65" s="36">
        <v>1</v>
      </c>
      <c r="AT65" s="36">
        <v>1</v>
      </c>
      <c r="AU65" s="36">
        <v>1</v>
      </c>
      <c r="AV65" s="36">
        <v>1</v>
      </c>
      <c r="AW65" s="36">
        <v>1</v>
      </c>
      <c r="AX65" s="36">
        <v>1</v>
      </c>
      <c r="AY65" s="36">
        <v>1</v>
      </c>
      <c r="AZ65" s="36">
        <v>1</v>
      </c>
    </row>
    <row r="66" spans="2:52" ht="17" customHeight="1" x14ac:dyDescent="0.45">
      <c r="B66" s="8" t="s">
        <v>130</v>
      </c>
      <c r="C66" s="30" t="s">
        <v>5</v>
      </c>
      <c r="D66" s="17" t="str">
        <f>IF('TECHNOLOGY REGISTER'!D16="","",'TECHNOLOGY REGISTER'!D16)</f>
        <v>Gas</v>
      </c>
      <c r="E66" s="38"/>
      <c r="F66" s="24" t="s">
        <v>98</v>
      </c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>
        <v>1</v>
      </c>
      <c r="AR66" s="37">
        <v>1</v>
      </c>
      <c r="AS66" s="37">
        <v>1</v>
      </c>
      <c r="AT66" s="37">
        <v>1</v>
      </c>
      <c r="AU66" s="37">
        <v>1</v>
      </c>
      <c r="AV66" s="37">
        <v>1</v>
      </c>
      <c r="AW66" s="37">
        <v>1</v>
      </c>
      <c r="AX66" s="37">
        <v>1</v>
      </c>
      <c r="AY66" s="37">
        <v>1</v>
      </c>
      <c r="AZ66" s="37">
        <v>1</v>
      </c>
    </row>
    <row r="67" spans="2:52" ht="17" customHeight="1" x14ac:dyDescent="0.45">
      <c r="B67" s="33" t="s">
        <v>130</v>
      </c>
      <c r="C67" s="29" t="s">
        <v>5</v>
      </c>
      <c r="D67" s="19" t="str">
        <f>IF('TECHNOLOGY REGISTER'!D17="","",'TECHNOLOGY REGISTER'!D17)</f>
        <v>Transmission</v>
      </c>
      <c r="E67" s="32"/>
      <c r="F67" s="32" t="s">
        <v>98</v>
      </c>
      <c r="G67" s="36">
        <v>1</v>
      </c>
      <c r="H67" s="36">
        <v>1</v>
      </c>
      <c r="I67" s="36">
        <v>1</v>
      </c>
      <c r="J67" s="36">
        <v>1</v>
      </c>
      <c r="K67" s="36">
        <v>1</v>
      </c>
      <c r="L67" s="36">
        <v>1</v>
      </c>
      <c r="M67" s="36">
        <v>1</v>
      </c>
      <c r="N67" s="36">
        <v>1</v>
      </c>
      <c r="O67" s="36">
        <v>1</v>
      </c>
      <c r="P67" s="36">
        <v>1</v>
      </c>
      <c r="Q67" s="36">
        <v>1</v>
      </c>
      <c r="R67" s="36">
        <v>1</v>
      </c>
      <c r="S67" s="36">
        <v>1</v>
      </c>
      <c r="T67" s="36">
        <v>1</v>
      </c>
      <c r="U67" s="36">
        <v>1</v>
      </c>
      <c r="V67" s="36">
        <v>1</v>
      </c>
      <c r="W67" s="36">
        <v>1</v>
      </c>
      <c r="X67" s="36">
        <v>1</v>
      </c>
      <c r="Y67" s="36">
        <v>1</v>
      </c>
      <c r="Z67" s="36">
        <v>1</v>
      </c>
      <c r="AA67" s="36">
        <v>1</v>
      </c>
      <c r="AB67" s="36">
        <v>1</v>
      </c>
      <c r="AC67" s="36">
        <v>1</v>
      </c>
      <c r="AD67" s="36">
        <v>1</v>
      </c>
      <c r="AE67" s="36">
        <v>1</v>
      </c>
      <c r="AF67" s="36">
        <v>1</v>
      </c>
      <c r="AG67" s="36">
        <v>1</v>
      </c>
      <c r="AH67" s="36">
        <v>1</v>
      </c>
      <c r="AI67" s="36">
        <v>1</v>
      </c>
      <c r="AJ67" s="36">
        <v>1</v>
      </c>
      <c r="AK67" s="36">
        <v>1</v>
      </c>
      <c r="AL67" s="36">
        <v>1</v>
      </c>
      <c r="AM67" s="36">
        <v>1</v>
      </c>
      <c r="AN67" s="36">
        <v>1</v>
      </c>
      <c r="AO67" s="36">
        <v>1</v>
      </c>
      <c r="AP67" s="36">
        <v>1</v>
      </c>
      <c r="AQ67" s="36">
        <v>1</v>
      </c>
      <c r="AR67" s="36">
        <v>1</v>
      </c>
      <c r="AS67" s="36">
        <v>1</v>
      </c>
      <c r="AT67" s="36">
        <v>1</v>
      </c>
      <c r="AU67" s="36">
        <v>1</v>
      </c>
      <c r="AV67" s="36">
        <v>1</v>
      </c>
      <c r="AW67" s="36">
        <v>1</v>
      </c>
      <c r="AX67" s="36">
        <v>1</v>
      </c>
      <c r="AY67" s="36">
        <v>1</v>
      </c>
      <c r="AZ67" s="36">
        <v>1</v>
      </c>
    </row>
    <row r="68" spans="2:52" ht="17" customHeight="1" x14ac:dyDescent="0.45">
      <c r="B68" s="8" t="s">
        <v>130</v>
      </c>
      <c r="C68" s="30" t="s">
        <v>5</v>
      </c>
      <c r="D68" s="17" t="str">
        <f>IF('TECHNOLOGY REGISTER'!D18="","",'TECHNOLOGY REGISTER'!D18)</f>
        <v>Distribution</v>
      </c>
      <c r="E68" s="38"/>
      <c r="F68" s="24" t="s">
        <v>98</v>
      </c>
      <c r="G68" s="37">
        <v>1</v>
      </c>
      <c r="H68" s="37">
        <v>1</v>
      </c>
      <c r="I68" s="37">
        <v>1</v>
      </c>
      <c r="J68" s="37">
        <v>1</v>
      </c>
      <c r="K68" s="37">
        <v>1</v>
      </c>
      <c r="L68" s="37">
        <v>1</v>
      </c>
      <c r="M68" s="37">
        <v>1</v>
      </c>
      <c r="N68" s="37">
        <v>1</v>
      </c>
      <c r="O68" s="37">
        <v>1</v>
      </c>
      <c r="P68" s="37">
        <v>1</v>
      </c>
      <c r="Q68" s="37">
        <v>1</v>
      </c>
      <c r="R68" s="37">
        <v>1</v>
      </c>
      <c r="S68" s="37">
        <v>1</v>
      </c>
      <c r="T68" s="37">
        <v>1</v>
      </c>
      <c r="U68" s="37">
        <v>1</v>
      </c>
      <c r="V68" s="37">
        <v>1</v>
      </c>
      <c r="W68" s="37">
        <v>1</v>
      </c>
      <c r="X68" s="37">
        <v>1</v>
      </c>
      <c r="Y68" s="37">
        <v>1</v>
      </c>
      <c r="Z68" s="37">
        <v>1</v>
      </c>
      <c r="AA68" s="37">
        <v>1</v>
      </c>
      <c r="AB68" s="37">
        <v>1</v>
      </c>
      <c r="AC68" s="37">
        <v>1</v>
      </c>
      <c r="AD68" s="37">
        <v>1</v>
      </c>
      <c r="AE68" s="37">
        <v>1</v>
      </c>
      <c r="AF68" s="37">
        <v>1</v>
      </c>
      <c r="AG68" s="37">
        <v>1</v>
      </c>
      <c r="AH68" s="37">
        <v>1</v>
      </c>
      <c r="AI68" s="37">
        <v>1</v>
      </c>
      <c r="AJ68" s="37">
        <v>1</v>
      </c>
      <c r="AK68" s="37">
        <v>1</v>
      </c>
      <c r="AL68" s="37">
        <v>1</v>
      </c>
      <c r="AM68" s="37">
        <v>1</v>
      </c>
      <c r="AN68" s="37">
        <v>1</v>
      </c>
      <c r="AO68" s="37">
        <v>1</v>
      </c>
      <c r="AP68" s="37">
        <v>1</v>
      </c>
      <c r="AQ68" s="37">
        <v>1</v>
      </c>
      <c r="AR68" s="37">
        <v>1</v>
      </c>
      <c r="AS68" s="37">
        <v>1</v>
      </c>
      <c r="AT68" s="37">
        <v>1</v>
      </c>
      <c r="AU68" s="37">
        <v>1</v>
      </c>
      <c r="AV68" s="37">
        <v>1</v>
      </c>
      <c r="AW68" s="37">
        <v>1</v>
      </c>
      <c r="AX68" s="37">
        <v>1</v>
      </c>
      <c r="AY68" s="37">
        <v>1</v>
      </c>
      <c r="AZ68" s="37">
        <v>1</v>
      </c>
    </row>
    <row r="69" spans="2:52" ht="17" customHeight="1" x14ac:dyDescent="0.45">
      <c r="B69" s="33" t="s">
        <v>130</v>
      </c>
      <c r="C69" s="29" t="s">
        <v>5</v>
      </c>
      <c r="D69" s="19" t="str">
        <f>IF('TECHNOLOGY REGISTER'!D19="","",'TECHNOLOGY REGISTER'!D19)</f>
        <v>Imports</v>
      </c>
      <c r="E69" s="32"/>
      <c r="F69" s="32" t="s">
        <v>98</v>
      </c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>
        <v>1</v>
      </c>
      <c r="AR69" s="36">
        <v>1</v>
      </c>
      <c r="AS69" s="36">
        <v>1</v>
      </c>
      <c r="AT69" s="36">
        <v>1</v>
      </c>
      <c r="AU69" s="36">
        <v>1</v>
      </c>
      <c r="AV69" s="36">
        <v>1</v>
      </c>
      <c r="AW69" s="36">
        <v>1</v>
      </c>
      <c r="AX69" s="36">
        <v>1</v>
      </c>
      <c r="AY69" s="36">
        <v>1</v>
      </c>
      <c r="AZ69" s="36">
        <v>1</v>
      </c>
    </row>
    <row r="70" spans="2:52" ht="17" customHeight="1" x14ac:dyDescent="0.45">
      <c r="B70" s="8" t="s">
        <v>130</v>
      </c>
      <c r="C70" s="30" t="s">
        <v>5</v>
      </c>
      <c r="D70" s="17" t="str">
        <f>IF('TECHNOLOGY REGISTER'!D20="","",'TECHNOLOGY REGISTER'!D20)</f>
        <v>Energy Exports</v>
      </c>
      <c r="E70" s="38"/>
      <c r="F70" s="24" t="s">
        <v>98</v>
      </c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>
        <v>1</v>
      </c>
      <c r="AR70" s="37">
        <v>1</v>
      </c>
      <c r="AS70" s="37">
        <v>1</v>
      </c>
      <c r="AT70" s="37">
        <v>1</v>
      </c>
      <c r="AU70" s="37">
        <v>1</v>
      </c>
      <c r="AV70" s="37">
        <v>1</v>
      </c>
      <c r="AW70" s="37">
        <v>1</v>
      </c>
      <c r="AX70" s="37">
        <v>1</v>
      </c>
      <c r="AY70" s="37">
        <v>1</v>
      </c>
      <c r="AZ70" s="37">
        <v>1</v>
      </c>
    </row>
    <row r="71" spans="2:52" ht="17" customHeight="1" x14ac:dyDescent="0.45">
      <c r="B71" s="33" t="s">
        <v>130</v>
      </c>
      <c r="C71" s="29" t="s">
        <v>5</v>
      </c>
      <c r="D71" s="19" t="str">
        <f>IF('TECHNOLOGY REGISTER'!D21="","",'TECHNOLOGY REGISTER'!D21)</f>
        <v>Direct Solar</v>
      </c>
      <c r="E71" s="32"/>
      <c r="F71" s="32" t="s">
        <v>98</v>
      </c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>
        <v>1</v>
      </c>
      <c r="AR71" s="36">
        <v>1</v>
      </c>
      <c r="AS71" s="36">
        <v>1</v>
      </c>
      <c r="AT71" s="36">
        <v>1</v>
      </c>
      <c r="AU71" s="36">
        <v>1</v>
      </c>
      <c r="AV71" s="36">
        <v>1</v>
      </c>
      <c r="AW71" s="36">
        <v>1</v>
      </c>
      <c r="AX71" s="36">
        <v>1</v>
      </c>
      <c r="AY71" s="36">
        <v>1</v>
      </c>
      <c r="AZ71" s="36">
        <v>1</v>
      </c>
    </row>
    <row r="72" spans="2:52" ht="15" customHeight="1" x14ac:dyDescent="0.45">
      <c r="B72" s="8" t="s">
        <v>130</v>
      </c>
      <c r="C72" s="30" t="s">
        <v>5</v>
      </c>
      <c r="D72" s="17" t="str">
        <f>IF('TECHNOLOGY REGISTER'!D22="","",'TECHNOLOGY REGISTER'!D22)</f>
        <v>Direct Oil</v>
      </c>
      <c r="E72" s="38"/>
      <c r="F72" s="24" t="s">
        <v>98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37">
        <v>1</v>
      </c>
      <c r="AR72" s="37">
        <v>1</v>
      </c>
      <c r="AS72" s="37">
        <v>1</v>
      </c>
      <c r="AT72" s="37">
        <v>1</v>
      </c>
      <c r="AU72" s="37">
        <v>1</v>
      </c>
      <c r="AV72" s="37">
        <v>1</v>
      </c>
      <c r="AW72" s="37">
        <v>1</v>
      </c>
      <c r="AX72" s="37">
        <v>1</v>
      </c>
      <c r="AY72" s="37">
        <v>1</v>
      </c>
      <c r="AZ72" s="37">
        <v>1</v>
      </c>
    </row>
    <row r="73" spans="2:52" ht="15" customHeight="1" x14ac:dyDescent="0.45">
      <c r="B73" s="33" t="s">
        <v>130</v>
      </c>
      <c r="C73" s="29" t="s">
        <v>5</v>
      </c>
      <c r="D73" s="19" t="str">
        <f>IF('TECHNOLOGY REGISTER'!D23="","",'TECHNOLOGY REGISTER'!D23)</f>
        <v>Direct Hydro</v>
      </c>
      <c r="E73" s="32"/>
      <c r="F73" s="32" t="s">
        <v>98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36">
        <v>1</v>
      </c>
      <c r="AR73" s="36">
        <v>1</v>
      </c>
      <c r="AS73" s="36">
        <v>1</v>
      </c>
      <c r="AT73" s="36">
        <v>1</v>
      </c>
      <c r="AU73" s="36">
        <v>1</v>
      </c>
      <c r="AV73" s="36">
        <v>1</v>
      </c>
      <c r="AW73" s="36">
        <v>1</v>
      </c>
      <c r="AX73" s="36">
        <v>1</v>
      </c>
      <c r="AY73" s="36">
        <v>1</v>
      </c>
      <c r="AZ73" s="36">
        <v>1</v>
      </c>
    </row>
    <row r="74" spans="2:52" ht="15" customHeight="1" x14ac:dyDescent="0.45">
      <c r="B74" s="8" t="s">
        <v>130</v>
      </c>
      <c r="C74" s="30" t="s">
        <v>5</v>
      </c>
      <c r="D74" s="17" t="str">
        <f>IF('TECHNOLOGY REGISTER'!D24="","",'TECHNOLOGY REGISTER'!D24)</f>
        <v/>
      </c>
      <c r="E74" s="38"/>
      <c r="F74" s="24" t="s">
        <v>98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</row>
    <row r="75" spans="2:52" ht="15" customHeight="1" x14ac:dyDescent="0.45">
      <c r="B75" s="33" t="s">
        <v>130</v>
      </c>
      <c r="C75" s="29" t="s">
        <v>5</v>
      </c>
      <c r="D75" s="19" t="str">
        <f>IF('TECHNOLOGY REGISTER'!D25="","",'TECHNOLOGY REGISTER'!D25)</f>
        <v/>
      </c>
      <c r="E75" s="32"/>
      <c r="F75" s="32" t="s">
        <v>98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</row>
    <row r="76" spans="2:52" ht="15" customHeight="1" x14ac:dyDescent="0.45">
      <c r="B76" s="8" t="s">
        <v>130</v>
      </c>
      <c r="C76" s="30" t="s">
        <v>5</v>
      </c>
      <c r="D76" s="17" t="str">
        <f>IF('TECHNOLOGY REGISTER'!D26="","",'TECHNOLOGY REGISTER'!D26)</f>
        <v/>
      </c>
      <c r="E76" s="38"/>
      <c r="F76" s="24" t="s">
        <v>98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</row>
    <row r="77" spans="2:52" ht="15" customHeight="1" x14ac:dyDescent="0.45">
      <c r="B77" s="33" t="s">
        <v>130</v>
      </c>
      <c r="C77" s="29" t="s">
        <v>5</v>
      </c>
      <c r="D77" s="19" t="str">
        <f>IF('TECHNOLOGY REGISTER'!D27="","",'TECHNOLOGY REGISTER'!D27)</f>
        <v/>
      </c>
      <c r="E77" s="32"/>
      <c r="F77" s="32" t="s">
        <v>98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</row>
    <row r="78" spans="2:52" ht="15" customHeight="1" x14ac:dyDescent="0.45">
      <c r="B78" s="8" t="s">
        <v>130</v>
      </c>
      <c r="C78" s="30" t="s">
        <v>5</v>
      </c>
      <c r="D78" s="17" t="str">
        <f>IF('TECHNOLOGY REGISTER'!D28="","",'TECHNOLOGY REGISTER'!D28)</f>
        <v/>
      </c>
      <c r="E78" s="38"/>
      <c r="F78" s="24" t="s">
        <v>98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</row>
    <row r="79" spans="2:52" ht="15" customHeight="1" x14ac:dyDescent="0.45">
      <c r="B79" s="33" t="s">
        <v>130</v>
      </c>
      <c r="C79" s="29" t="s">
        <v>5</v>
      </c>
      <c r="D79" s="19" t="str">
        <f>IF('TECHNOLOGY REGISTER'!D29="","",'TECHNOLOGY REGISTER'!D29)</f>
        <v/>
      </c>
      <c r="E79" s="32"/>
      <c r="F79" s="32" t="s">
        <v>98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</row>
    <row r="80" spans="2:52" ht="15" customHeight="1" x14ac:dyDescent="0.45">
      <c r="B80" s="8" t="s">
        <v>130</v>
      </c>
      <c r="C80" s="30" t="s">
        <v>5</v>
      </c>
      <c r="D80" s="17" t="str">
        <f>IF('TECHNOLOGY REGISTER'!D30="","",'TECHNOLOGY REGISTER'!D30)</f>
        <v/>
      </c>
      <c r="E80" s="38"/>
      <c r="F80" s="24" t="s">
        <v>98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</row>
    <row r="81" spans="2:52" ht="15" customHeight="1" x14ac:dyDescent="0.45">
      <c r="B81" s="33" t="s">
        <v>130</v>
      </c>
      <c r="C81" s="29" t="s">
        <v>5</v>
      </c>
      <c r="D81" s="19" t="str">
        <f>IF('TECHNOLOGY REGISTER'!D31="","",'TECHNOLOGY REGISTER'!D31)</f>
        <v/>
      </c>
      <c r="E81" s="32"/>
      <c r="F81" s="32" t="s">
        <v>98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</row>
    <row r="82" spans="2:52" ht="15" customHeight="1" x14ac:dyDescent="0.45">
      <c r="B82" s="8" t="s">
        <v>130</v>
      </c>
      <c r="C82" s="30" t="s">
        <v>5</v>
      </c>
      <c r="D82" s="17" t="str">
        <f>IF('TECHNOLOGY REGISTER'!D32="","",'TECHNOLOGY REGISTER'!D32)</f>
        <v/>
      </c>
      <c r="E82" s="38"/>
      <c r="F82" s="24" t="s">
        <v>98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</row>
    <row r="83" spans="2:52" ht="15" customHeight="1" x14ac:dyDescent="0.45">
      <c r="B83" s="33" t="s">
        <v>130</v>
      </c>
      <c r="C83" s="29" t="s">
        <v>5</v>
      </c>
      <c r="D83" s="19" t="str">
        <f>IF('TECHNOLOGY REGISTER'!D33="","",'TECHNOLOGY REGISTER'!D33)</f>
        <v/>
      </c>
      <c r="E83" s="32"/>
      <c r="F83" s="32" t="s">
        <v>98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</row>
    <row r="84" spans="2:52" ht="15" customHeight="1" x14ac:dyDescent="0.45">
      <c r="B84" s="8" t="s">
        <v>130</v>
      </c>
      <c r="C84" s="30" t="s">
        <v>5</v>
      </c>
      <c r="D84" s="17" t="str">
        <f>IF('TECHNOLOGY REGISTER'!D34="","",'TECHNOLOGY REGISTER'!D34)</f>
        <v/>
      </c>
      <c r="E84" s="38"/>
      <c r="F84" s="24" t="s">
        <v>98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</row>
    <row r="85" spans="2:52" ht="15" customHeight="1" x14ac:dyDescent="0.45">
      <c r="B85" s="33" t="s">
        <v>130</v>
      </c>
      <c r="C85" s="29" t="s">
        <v>5</v>
      </c>
      <c r="D85" s="19" t="str">
        <f>IF('TECHNOLOGY REGISTER'!D35="","",'TECHNOLOGY REGISTER'!D35)</f>
        <v/>
      </c>
      <c r="E85" s="32"/>
      <c r="F85" s="32" t="s">
        <v>98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</row>
    <row r="86" spans="2:52" ht="15" customHeight="1" x14ac:dyDescent="0.45">
      <c r="B86" s="8" t="s">
        <v>130</v>
      </c>
      <c r="C86" s="30" t="s">
        <v>5</v>
      </c>
      <c r="D86" s="17" t="str">
        <f>IF('TECHNOLOGY REGISTER'!D36="","",'TECHNOLOGY REGISTER'!D36)</f>
        <v/>
      </c>
      <c r="E86" s="38"/>
      <c r="F86" s="24" t="s">
        <v>98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</row>
    <row r="87" spans="2:52" ht="15" customHeight="1" x14ac:dyDescent="0.45">
      <c r="B87" s="33" t="s">
        <v>130</v>
      </c>
      <c r="C87" s="29" t="s">
        <v>5</v>
      </c>
      <c r="D87" s="19" t="str">
        <f>IF('TECHNOLOGY REGISTER'!D37="","",'TECHNOLOGY REGISTER'!D37)</f>
        <v/>
      </c>
      <c r="E87" s="32"/>
      <c r="F87" s="32" t="s">
        <v>98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</row>
    <row r="88" spans="2:52" ht="15" customHeight="1" x14ac:dyDescent="0.45">
      <c r="B88" s="8" t="s">
        <v>130</v>
      </c>
      <c r="C88" s="30" t="s">
        <v>5</v>
      </c>
      <c r="D88" s="17" t="str">
        <f>IF('TECHNOLOGY REGISTER'!D38="","",'TECHNOLOGY REGISTER'!D38)</f>
        <v/>
      </c>
      <c r="E88" s="38"/>
      <c r="F88" s="24" t="s">
        <v>98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</row>
    <row r="89" spans="2:52" ht="15" customHeight="1" x14ac:dyDescent="0.45">
      <c r="B89" s="33" t="s">
        <v>130</v>
      </c>
      <c r="C89" s="29" t="s">
        <v>5</v>
      </c>
      <c r="D89" s="19" t="str">
        <f>IF('TECHNOLOGY REGISTER'!D39="","",'TECHNOLOGY REGISTER'!D39)</f>
        <v/>
      </c>
      <c r="E89" s="32"/>
      <c r="F89" s="32" t="s">
        <v>98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</row>
    <row r="90" spans="2:52" ht="15" customHeight="1" x14ac:dyDescent="0.45">
      <c r="B90" s="8" t="s">
        <v>130</v>
      </c>
      <c r="C90" s="30" t="s">
        <v>5</v>
      </c>
      <c r="D90" s="17" t="str">
        <f>IF('TECHNOLOGY REGISTER'!D40="","",'TECHNOLOGY REGISTER'!D40)</f>
        <v/>
      </c>
      <c r="E90" s="38"/>
      <c r="F90" s="24" t="s">
        <v>98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</row>
    <row r="91" spans="2:52" ht="15" customHeight="1" x14ac:dyDescent="0.45">
      <c r="B91" s="33" t="s">
        <v>130</v>
      </c>
      <c r="C91" s="29" t="s">
        <v>5</v>
      </c>
      <c r="D91" s="19" t="str">
        <f>IF('TECHNOLOGY REGISTER'!D41="","",'TECHNOLOGY REGISTER'!D41)</f>
        <v/>
      </c>
      <c r="E91" s="32"/>
      <c r="F91" s="32" t="s">
        <v>98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</row>
    <row r="92" spans="2:52" ht="15" customHeight="1" x14ac:dyDescent="0.45">
      <c r="B92" s="8" t="s">
        <v>130</v>
      </c>
      <c r="C92" s="30" t="s">
        <v>5</v>
      </c>
      <c r="D92" s="17" t="str">
        <f>IF('TECHNOLOGY REGISTER'!D42="","",'TECHNOLOGY REGISTER'!D42)</f>
        <v/>
      </c>
      <c r="E92" s="38"/>
      <c r="F92" s="24" t="s">
        <v>98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</row>
    <row r="93" spans="2:52" ht="15" customHeight="1" x14ac:dyDescent="0.45">
      <c r="B93" s="33" t="s">
        <v>130</v>
      </c>
      <c r="C93" s="29" t="s">
        <v>5</v>
      </c>
      <c r="D93" s="19" t="str">
        <f>IF('TECHNOLOGY REGISTER'!D43="","",'TECHNOLOGY REGISTER'!D43)</f>
        <v/>
      </c>
      <c r="E93" s="32"/>
      <c r="F93" s="32" t="s">
        <v>98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</row>
    <row r="94" spans="2:52" ht="15" customHeight="1" x14ac:dyDescent="0.45">
      <c r="B94" s="8" t="s">
        <v>130</v>
      </c>
      <c r="C94" s="30" t="s">
        <v>5</v>
      </c>
      <c r="D94" s="17" t="str">
        <f>IF('TECHNOLOGY REGISTER'!D44="","",'TECHNOLOGY REGISTER'!D44)</f>
        <v/>
      </c>
      <c r="E94" s="38"/>
      <c r="F94" s="24" t="s">
        <v>98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</row>
    <row r="95" spans="2:52" ht="15" customHeight="1" x14ac:dyDescent="0.45">
      <c r="B95" s="33" t="s">
        <v>130</v>
      </c>
      <c r="C95" s="29" t="s">
        <v>5</v>
      </c>
      <c r="D95" s="19" t="str">
        <f>IF('TECHNOLOGY REGISTER'!D45="","",'TECHNOLOGY REGISTER'!D45)</f>
        <v/>
      </c>
      <c r="E95" s="32"/>
      <c r="F95" s="32" t="s">
        <v>98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</row>
    <row r="96" spans="2:52" ht="15" customHeight="1" x14ac:dyDescent="0.45">
      <c r="B96" s="8" t="s">
        <v>130</v>
      </c>
      <c r="C96" s="30" t="s">
        <v>5</v>
      </c>
      <c r="D96" s="17" t="str">
        <f>IF('TECHNOLOGY REGISTER'!D46="","",'TECHNOLOGY REGISTER'!D46)</f>
        <v/>
      </c>
      <c r="E96" s="38"/>
      <c r="F96" s="24" t="s">
        <v>98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</row>
    <row r="97" spans="2:52" ht="15" customHeight="1" x14ac:dyDescent="0.45">
      <c r="B97" s="33" t="s">
        <v>130</v>
      </c>
      <c r="C97" s="29" t="s">
        <v>5</v>
      </c>
      <c r="D97" s="19" t="str">
        <f>IF('TECHNOLOGY REGISTER'!D47="","",'TECHNOLOGY REGISTER'!D47)</f>
        <v/>
      </c>
      <c r="E97" s="32"/>
      <c r="F97" s="32" t="s">
        <v>98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</row>
    <row r="98" spans="2:52" ht="15" customHeight="1" x14ac:dyDescent="0.45">
      <c r="B98" s="8" t="s">
        <v>130</v>
      </c>
      <c r="C98" s="30" t="s">
        <v>5</v>
      </c>
      <c r="D98" s="17" t="str">
        <f>IF('TECHNOLOGY REGISTER'!D48="","",'TECHNOLOGY REGISTER'!D48)</f>
        <v/>
      </c>
      <c r="E98" s="38"/>
      <c r="F98" s="24" t="s">
        <v>98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</row>
    <row r="99" spans="2:52" ht="15" customHeight="1" x14ac:dyDescent="0.45">
      <c r="B99" s="33" t="s">
        <v>130</v>
      </c>
      <c r="C99" s="29" t="s">
        <v>5</v>
      </c>
      <c r="D99" s="19" t="str">
        <f>IF('TECHNOLOGY REGISTER'!D49="","",'TECHNOLOGY REGISTER'!D49)</f>
        <v/>
      </c>
      <c r="E99" s="32"/>
      <c r="F99" s="32" t="s">
        <v>98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</row>
    <row r="100" spans="2:52" ht="15" customHeight="1" x14ac:dyDescent="0.45">
      <c r="B100" s="8" t="s">
        <v>130</v>
      </c>
      <c r="C100" s="30" t="s">
        <v>5</v>
      </c>
      <c r="D100" s="17" t="str">
        <f>IF('TECHNOLOGY REGISTER'!D50="","",'TECHNOLOGY REGISTER'!D50)</f>
        <v/>
      </c>
      <c r="E100" s="38"/>
      <c r="F100" s="24" t="s">
        <v>98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</row>
    <row r="101" spans="2:52" ht="15" customHeight="1" x14ac:dyDescent="0.45">
      <c r="B101" s="33" t="s">
        <v>130</v>
      </c>
      <c r="C101" s="29" t="s">
        <v>5</v>
      </c>
      <c r="D101" s="19" t="str">
        <f>IF('TECHNOLOGY REGISTER'!D51="","",'TECHNOLOGY REGISTER'!D51)</f>
        <v/>
      </c>
      <c r="E101" s="32"/>
      <c r="F101" s="32" t="s">
        <v>98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</row>
    <row r="102" spans="2:52" ht="15" customHeight="1" x14ac:dyDescent="0.45">
      <c r="B102" s="8" t="s">
        <v>130</v>
      </c>
      <c r="C102" s="30" t="s">
        <v>5</v>
      </c>
      <c r="D102" s="17" t="str">
        <f>IF('TECHNOLOGY REGISTER'!D52="","",'TECHNOLOGY REGISTER'!D52)</f>
        <v/>
      </c>
      <c r="E102" s="38"/>
      <c r="F102" s="24" t="s">
        <v>98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2:52" ht="15" customHeight="1" x14ac:dyDescent="0.45">
      <c r="B103" s="33" t="s">
        <v>130</v>
      </c>
      <c r="C103" s="29" t="s">
        <v>5</v>
      </c>
      <c r="D103" s="19" t="str">
        <f>IF('TECHNOLOGY REGISTER'!D53="","",'TECHNOLOGY REGISTER'!D53)</f>
        <v/>
      </c>
      <c r="E103" s="32"/>
      <c r="F103" s="32" t="s">
        <v>98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</row>
    <row r="104" spans="2:52" ht="15" customHeight="1" x14ac:dyDescent="0.45">
      <c r="B104" s="8" t="s">
        <v>130</v>
      </c>
      <c r="C104" s="30" t="s">
        <v>5</v>
      </c>
      <c r="D104" s="17" t="str">
        <f>IF('TECHNOLOGY REGISTER'!D54="","",'TECHNOLOGY REGISTER'!D54)</f>
        <v/>
      </c>
      <c r="E104" s="38"/>
      <c r="F104" s="24" t="s">
        <v>98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</row>
    <row r="105" spans="2:52" ht="15" customHeight="1" x14ac:dyDescent="0.45">
      <c r="B105" s="33" t="s">
        <v>130</v>
      </c>
      <c r="C105" s="29" t="s">
        <v>5</v>
      </c>
      <c r="D105" s="19" t="str">
        <f>IF('TECHNOLOGY REGISTER'!D55="","",'TECHNOLOGY REGISTER'!D55)</f>
        <v/>
      </c>
      <c r="E105" s="32"/>
      <c r="F105" s="32" t="s">
        <v>98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</row>
    <row r="106" spans="2:52" ht="16.05" customHeight="1" thickBot="1" x14ac:dyDescent="0.5">
      <c r="B106" s="8" t="s">
        <v>130</v>
      </c>
      <c r="C106" s="30" t="s">
        <v>5</v>
      </c>
      <c r="D106" s="17" t="str">
        <f>IF('TECHNOLOGY REGISTER'!D56="","",'TECHNOLOGY REGISTER'!D56)</f>
        <v/>
      </c>
      <c r="E106" s="38"/>
      <c r="F106" s="24" t="s">
        <v>98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</row>
    <row r="107" spans="2:52" customFormat="1" ht="20" customHeight="1" x14ac:dyDescent="0.5">
      <c r="B107" s="69" t="s">
        <v>147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</row>
    <row r="108" spans="2:52" ht="17" customHeight="1" x14ac:dyDescent="0.45">
      <c r="B108" s="33" t="s">
        <v>131</v>
      </c>
      <c r="C108" s="29" t="s">
        <v>5</v>
      </c>
      <c r="D108" s="19" t="str">
        <f>IF('TECHNOLOGY REGISTER'!D7="","",'TECHNOLOGY REGISTER'!D7)</f>
        <v>Biomass</v>
      </c>
      <c r="E108" s="32"/>
      <c r="F108" s="32" t="s">
        <v>98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  <c r="M108" s="36">
        <v>0</v>
      </c>
      <c r="N108" s="36">
        <v>0</v>
      </c>
      <c r="O108" s="36">
        <v>0</v>
      </c>
      <c r="P108" s="36">
        <v>0</v>
      </c>
      <c r="Q108" s="36">
        <v>0</v>
      </c>
      <c r="R108" s="36">
        <v>0</v>
      </c>
      <c r="S108" s="36">
        <v>0</v>
      </c>
      <c r="T108" s="36">
        <v>0</v>
      </c>
      <c r="U108" s="36">
        <v>0</v>
      </c>
      <c r="V108" s="36">
        <v>0</v>
      </c>
      <c r="W108" s="36">
        <v>0</v>
      </c>
      <c r="X108" s="36">
        <v>0</v>
      </c>
      <c r="Y108" s="36">
        <v>0</v>
      </c>
      <c r="Z108" s="36">
        <v>0</v>
      </c>
      <c r="AA108" s="36">
        <v>0</v>
      </c>
      <c r="AB108" s="36">
        <v>0</v>
      </c>
      <c r="AC108" s="36">
        <v>0</v>
      </c>
      <c r="AD108" s="36">
        <v>0</v>
      </c>
      <c r="AE108" s="36">
        <v>0</v>
      </c>
      <c r="AF108" s="36">
        <v>0</v>
      </c>
      <c r="AG108" s="36">
        <v>0</v>
      </c>
      <c r="AH108" s="36">
        <v>0</v>
      </c>
      <c r="AI108" s="36">
        <v>0</v>
      </c>
      <c r="AJ108" s="36">
        <v>0</v>
      </c>
      <c r="AK108" s="36">
        <v>0</v>
      </c>
      <c r="AL108" s="36">
        <v>0</v>
      </c>
      <c r="AM108" s="36">
        <v>0</v>
      </c>
      <c r="AN108" s="36">
        <v>0</v>
      </c>
      <c r="AO108" s="36">
        <v>0</v>
      </c>
      <c r="AP108" s="36">
        <v>0</v>
      </c>
      <c r="AQ108" s="36">
        <v>0</v>
      </c>
      <c r="AR108" s="36">
        <v>0</v>
      </c>
      <c r="AS108" s="36">
        <v>0</v>
      </c>
      <c r="AT108" s="36">
        <v>0</v>
      </c>
      <c r="AU108" s="36">
        <v>0</v>
      </c>
      <c r="AV108" s="36">
        <v>0</v>
      </c>
      <c r="AW108" s="36">
        <v>0</v>
      </c>
      <c r="AX108" s="36">
        <v>0</v>
      </c>
      <c r="AY108" s="36">
        <v>0</v>
      </c>
      <c r="AZ108" s="36">
        <v>0</v>
      </c>
    </row>
    <row r="109" spans="2:52" ht="17" customHeight="1" x14ac:dyDescent="0.45">
      <c r="B109" s="8" t="s">
        <v>131</v>
      </c>
      <c r="C109" s="30" t="s">
        <v>5</v>
      </c>
      <c r="D109" s="17" t="str">
        <f>IF('TECHNOLOGY REGISTER'!D8="","",'TECHNOLOGY REGISTER'!D8)</f>
        <v>Geothermal</v>
      </c>
      <c r="E109" s="38"/>
      <c r="F109" s="24" t="s">
        <v>98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>
        <v>0</v>
      </c>
      <c r="P109" s="37">
        <v>0</v>
      </c>
      <c r="Q109" s="37">
        <v>0</v>
      </c>
      <c r="R109" s="37">
        <v>0</v>
      </c>
      <c r="S109" s="37">
        <v>0</v>
      </c>
      <c r="T109" s="37">
        <v>0</v>
      </c>
      <c r="U109" s="37">
        <v>0</v>
      </c>
      <c r="V109" s="37">
        <v>0</v>
      </c>
      <c r="W109" s="37">
        <v>0</v>
      </c>
      <c r="X109" s="37">
        <v>0</v>
      </c>
      <c r="Y109" s="37">
        <v>0</v>
      </c>
      <c r="Z109" s="37">
        <v>0</v>
      </c>
      <c r="AA109" s="37">
        <v>0</v>
      </c>
      <c r="AB109" s="37">
        <v>0</v>
      </c>
      <c r="AC109" s="37">
        <v>0</v>
      </c>
      <c r="AD109" s="37">
        <v>0</v>
      </c>
      <c r="AE109" s="37">
        <v>0</v>
      </c>
      <c r="AF109" s="37">
        <v>0</v>
      </c>
      <c r="AG109" s="37">
        <v>0</v>
      </c>
      <c r="AH109" s="37">
        <v>0</v>
      </c>
      <c r="AI109" s="37">
        <v>0</v>
      </c>
      <c r="AJ109" s="37">
        <v>0</v>
      </c>
      <c r="AK109" s="37">
        <v>0</v>
      </c>
      <c r="AL109" s="37">
        <v>0</v>
      </c>
      <c r="AM109" s="37">
        <v>0</v>
      </c>
      <c r="AN109" s="37">
        <v>0</v>
      </c>
      <c r="AO109" s="37">
        <v>0</v>
      </c>
      <c r="AP109" s="37">
        <v>0</v>
      </c>
      <c r="AQ109" s="37">
        <v>0</v>
      </c>
      <c r="AR109" s="37">
        <v>0</v>
      </c>
      <c r="AS109" s="37">
        <v>0</v>
      </c>
      <c r="AT109" s="37">
        <v>0</v>
      </c>
      <c r="AU109" s="37">
        <v>0</v>
      </c>
      <c r="AV109" s="37">
        <v>0</v>
      </c>
      <c r="AW109" s="37">
        <v>0</v>
      </c>
      <c r="AX109" s="37">
        <v>0</v>
      </c>
      <c r="AY109" s="37">
        <v>0</v>
      </c>
      <c r="AZ109" s="37">
        <v>0</v>
      </c>
    </row>
    <row r="110" spans="2:52" ht="17" customHeight="1" x14ac:dyDescent="0.45">
      <c r="B110" s="33" t="s">
        <v>131</v>
      </c>
      <c r="C110" s="29" t="s">
        <v>5</v>
      </c>
      <c r="D110" s="19" t="str">
        <f>IF('TECHNOLOGY REGISTER'!D9="","",'TECHNOLOGY REGISTER'!D9)</f>
        <v>Solar PV</v>
      </c>
      <c r="E110" s="32"/>
      <c r="F110" s="32" t="s">
        <v>98</v>
      </c>
      <c r="G110" s="36">
        <v>0</v>
      </c>
      <c r="H110" s="36">
        <v>0</v>
      </c>
      <c r="I110" s="36">
        <v>0</v>
      </c>
      <c r="J110" s="36">
        <v>0</v>
      </c>
      <c r="K110" s="36">
        <v>0</v>
      </c>
      <c r="L110" s="36">
        <v>0</v>
      </c>
      <c r="M110" s="36">
        <v>0</v>
      </c>
      <c r="N110" s="36">
        <v>0</v>
      </c>
      <c r="O110" s="36">
        <v>0</v>
      </c>
      <c r="P110" s="36">
        <v>0</v>
      </c>
      <c r="Q110" s="36">
        <v>0</v>
      </c>
      <c r="R110" s="36">
        <v>0</v>
      </c>
      <c r="S110" s="36">
        <v>0</v>
      </c>
      <c r="T110" s="36">
        <v>0</v>
      </c>
      <c r="U110" s="36">
        <v>0</v>
      </c>
      <c r="V110" s="36">
        <v>0</v>
      </c>
      <c r="W110" s="36">
        <v>0</v>
      </c>
      <c r="X110" s="36">
        <v>0</v>
      </c>
      <c r="Y110" s="36">
        <v>0</v>
      </c>
      <c r="Z110" s="36">
        <v>0</v>
      </c>
      <c r="AA110" s="36">
        <v>0</v>
      </c>
      <c r="AB110" s="36">
        <v>0</v>
      </c>
      <c r="AC110" s="36">
        <v>0</v>
      </c>
      <c r="AD110" s="36">
        <v>0</v>
      </c>
      <c r="AE110" s="36">
        <v>0</v>
      </c>
      <c r="AF110" s="36">
        <v>0</v>
      </c>
      <c r="AG110" s="36">
        <v>0</v>
      </c>
      <c r="AH110" s="36">
        <v>0</v>
      </c>
      <c r="AI110" s="36">
        <v>0</v>
      </c>
      <c r="AJ110" s="36">
        <v>0</v>
      </c>
      <c r="AK110" s="36">
        <v>0</v>
      </c>
      <c r="AL110" s="36">
        <v>0</v>
      </c>
      <c r="AM110" s="36">
        <v>0</v>
      </c>
      <c r="AN110" s="36">
        <v>0</v>
      </c>
      <c r="AO110" s="36">
        <v>0</v>
      </c>
      <c r="AP110" s="36">
        <v>0</v>
      </c>
      <c r="AQ110" s="36">
        <v>0</v>
      </c>
      <c r="AR110" s="36">
        <v>0</v>
      </c>
      <c r="AS110" s="36">
        <v>0</v>
      </c>
      <c r="AT110" s="36">
        <v>0</v>
      </c>
      <c r="AU110" s="36">
        <v>0</v>
      </c>
      <c r="AV110" s="36">
        <v>0</v>
      </c>
      <c r="AW110" s="36">
        <v>0</v>
      </c>
      <c r="AX110" s="36">
        <v>0</v>
      </c>
      <c r="AY110" s="36">
        <v>0</v>
      </c>
      <c r="AZ110" s="36">
        <v>0</v>
      </c>
    </row>
    <row r="111" spans="2:52" ht="17" customHeight="1" x14ac:dyDescent="0.45">
      <c r="B111" s="8" t="s">
        <v>131</v>
      </c>
      <c r="C111" s="30" t="s">
        <v>5</v>
      </c>
      <c r="D111" s="17" t="str">
        <f>IF('TECHNOLOGY REGISTER'!D10="","",'TECHNOLOGY REGISTER'!D10)</f>
        <v>CSP</v>
      </c>
      <c r="E111" s="38"/>
      <c r="F111" s="24" t="s">
        <v>98</v>
      </c>
      <c r="G111" s="37">
        <v>3.2328560044035837E-2</v>
      </c>
      <c r="H111" s="37">
        <v>5.7848595379791368E-2</v>
      </c>
      <c r="I111" s="37">
        <v>6.8739227375511969E-2</v>
      </c>
      <c r="J111" s="37">
        <v>7.1762944282449337E-2</v>
      </c>
      <c r="K111" s="37">
        <v>7.8905797894802676E-2</v>
      </c>
      <c r="L111" s="37">
        <v>0.11266470291323571</v>
      </c>
      <c r="M111" s="37">
        <v>0.13695548635281185</v>
      </c>
      <c r="N111" s="37">
        <v>0.15198640690022613</v>
      </c>
      <c r="O111" s="37">
        <v>0.17734241313078403</v>
      </c>
      <c r="P111" s="37">
        <v>0.2533029035121086</v>
      </c>
      <c r="Q111" s="37">
        <v>0.27300558590253987</v>
      </c>
      <c r="R111" s="37">
        <v>0.30436220602652986</v>
      </c>
      <c r="S111" s="37">
        <v>0.30757654140996094</v>
      </c>
      <c r="T111" s="37">
        <v>0.30073201574457231</v>
      </c>
      <c r="U111" s="37">
        <v>0.30356013079238187</v>
      </c>
      <c r="V111" s="37">
        <v>0.35595629969051079</v>
      </c>
      <c r="W111" s="37">
        <v>0.36140358486678736</v>
      </c>
      <c r="X111" s="37">
        <v>0.39809470373001143</v>
      </c>
      <c r="Y111" s="37">
        <v>0.40331714013526554</v>
      </c>
      <c r="Z111" s="37">
        <v>0.40926984722092041</v>
      </c>
      <c r="AA111" s="37">
        <v>0.41565402824377495</v>
      </c>
      <c r="AB111" s="37">
        <v>0.42218325798337153</v>
      </c>
      <c r="AC111" s="37">
        <v>0.43984868432016277</v>
      </c>
      <c r="AD111" s="37">
        <v>0.45413109731341983</v>
      </c>
      <c r="AE111" s="37">
        <v>0.46461943594971122</v>
      </c>
      <c r="AF111" s="37">
        <v>0.48894677626977767</v>
      </c>
      <c r="AG111" s="37">
        <v>0.49798127137587178</v>
      </c>
      <c r="AH111" s="37">
        <v>0.50783587370845962</v>
      </c>
      <c r="AI111" s="37">
        <v>0.5118692638345661</v>
      </c>
      <c r="AJ111" s="37">
        <v>0.51557193161128534</v>
      </c>
      <c r="AK111" s="37">
        <v>0.51853956188766448</v>
      </c>
      <c r="AL111" s="37">
        <v>0.52088411230050702</v>
      </c>
      <c r="AM111" s="37">
        <v>0.52320836702175444</v>
      </c>
      <c r="AN111" s="37">
        <v>0.52552804061525149</v>
      </c>
      <c r="AO111" s="37">
        <v>0.52780535316263655</v>
      </c>
      <c r="AP111" s="37">
        <v>0.5301769523933767</v>
      </c>
      <c r="AQ111" s="37">
        <v>0.53225380008998679</v>
      </c>
      <c r="AR111" s="37">
        <v>0.53449294630327204</v>
      </c>
      <c r="AS111" s="37">
        <v>0.53669159943395883</v>
      </c>
      <c r="AT111" s="37">
        <v>0.53887590713498534</v>
      </c>
      <c r="AU111" s="37">
        <v>0.54102927053511696</v>
      </c>
      <c r="AV111" s="37">
        <v>0.54316054617775245</v>
      </c>
      <c r="AW111" s="37">
        <v>0.54527006917450549</v>
      </c>
      <c r="AX111" s="37">
        <v>0.54736426314277509</v>
      </c>
      <c r="AY111" s="37">
        <v>0.549435230197312</v>
      </c>
      <c r="AZ111" s="37">
        <v>0.55174053938717726</v>
      </c>
    </row>
    <row r="112" spans="2:52" ht="17" customHeight="1" x14ac:dyDescent="0.45">
      <c r="B112" s="33" t="s">
        <v>131</v>
      </c>
      <c r="C112" s="29" t="s">
        <v>5</v>
      </c>
      <c r="D112" s="19" t="str">
        <f>IF('TECHNOLOGY REGISTER'!D11="","",'TECHNOLOGY REGISTER'!D11)</f>
        <v>Hydropower</v>
      </c>
      <c r="E112" s="32"/>
      <c r="F112" s="32" t="s">
        <v>98</v>
      </c>
      <c r="G112" s="36">
        <v>0</v>
      </c>
      <c r="H112" s="36">
        <v>0</v>
      </c>
      <c r="I112" s="36">
        <v>0</v>
      </c>
      <c r="J112" s="36">
        <v>0</v>
      </c>
      <c r="K112" s="36">
        <v>0</v>
      </c>
      <c r="L112" s="36">
        <v>0</v>
      </c>
      <c r="M112" s="36">
        <v>0</v>
      </c>
      <c r="N112" s="36">
        <v>0</v>
      </c>
      <c r="O112" s="36">
        <v>0</v>
      </c>
      <c r="P112" s="36">
        <v>0</v>
      </c>
      <c r="Q112" s="36">
        <v>0</v>
      </c>
      <c r="R112" s="36">
        <v>0</v>
      </c>
      <c r="S112" s="36">
        <v>0</v>
      </c>
      <c r="T112" s="36">
        <v>0</v>
      </c>
      <c r="U112" s="36">
        <v>0</v>
      </c>
      <c r="V112" s="36">
        <v>0</v>
      </c>
      <c r="W112" s="36">
        <v>0</v>
      </c>
      <c r="X112" s="36">
        <v>0</v>
      </c>
      <c r="Y112" s="36">
        <v>0</v>
      </c>
      <c r="Z112" s="36">
        <v>0</v>
      </c>
      <c r="AA112" s="36">
        <v>0</v>
      </c>
      <c r="AB112" s="36">
        <v>0</v>
      </c>
      <c r="AC112" s="36">
        <v>0</v>
      </c>
      <c r="AD112" s="36">
        <v>0</v>
      </c>
      <c r="AE112" s="36">
        <v>0</v>
      </c>
      <c r="AF112" s="36">
        <v>0</v>
      </c>
      <c r="AG112" s="36">
        <v>0</v>
      </c>
      <c r="AH112" s="36">
        <v>0</v>
      </c>
      <c r="AI112" s="36">
        <v>0</v>
      </c>
      <c r="AJ112" s="36">
        <v>0</v>
      </c>
      <c r="AK112" s="36">
        <v>0</v>
      </c>
      <c r="AL112" s="36">
        <v>0</v>
      </c>
      <c r="AM112" s="36">
        <v>0</v>
      </c>
      <c r="AN112" s="36">
        <v>0</v>
      </c>
      <c r="AO112" s="36">
        <v>0</v>
      </c>
      <c r="AP112" s="36">
        <v>0</v>
      </c>
      <c r="AQ112" s="36">
        <v>0</v>
      </c>
      <c r="AR112" s="36">
        <v>0</v>
      </c>
      <c r="AS112" s="36">
        <v>0</v>
      </c>
      <c r="AT112" s="36">
        <v>0</v>
      </c>
      <c r="AU112" s="36">
        <v>0</v>
      </c>
      <c r="AV112" s="36">
        <v>0</v>
      </c>
      <c r="AW112" s="36">
        <v>0</v>
      </c>
      <c r="AX112" s="36">
        <v>0</v>
      </c>
      <c r="AY112" s="36">
        <v>0</v>
      </c>
      <c r="AZ112" s="36">
        <v>0</v>
      </c>
    </row>
    <row r="113" spans="2:52" ht="17" customHeight="1" x14ac:dyDescent="0.45">
      <c r="B113" s="8" t="s">
        <v>131</v>
      </c>
      <c r="C113" s="30" t="s">
        <v>5</v>
      </c>
      <c r="D113" s="17" t="str">
        <f>IF('TECHNOLOGY REGISTER'!D12="","",'TECHNOLOGY REGISTER'!D12)</f>
        <v>Nuclear</v>
      </c>
      <c r="E113" s="38"/>
      <c r="F113" s="24" t="s">
        <v>98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  <c r="Q113" s="37">
        <v>0</v>
      </c>
      <c r="R113" s="37">
        <v>0</v>
      </c>
      <c r="S113" s="37">
        <v>0</v>
      </c>
      <c r="T113" s="37">
        <v>0</v>
      </c>
      <c r="U113" s="37">
        <v>0</v>
      </c>
      <c r="V113" s="37">
        <v>0</v>
      </c>
      <c r="W113" s="37">
        <v>0</v>
      </c>
      <c r="X113" s="37">
        <v>0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7">
        <v>0</v>
      </c>
      <c r="AG113" s="37">
        <v>0</v>
      </c>
      <c r="AH113" s="37">
        <v>0</v>
      </c>
      <c r="AI113" s="37">
        <v>0</v>
      </c>
      <c r="AJ113" s="37">
        <v>0</v>
      </c>
      <c r="AK113" s="37">
        <v>0</v>
      </c>
      <c r="AL113" s="37">
        <v>0</v>
      </c>
      <c r="AM113" s="37">
        <v>0</v>
      </c>
      <c r="AN113" s="37">
        <v>0</v>
      </c>
      <c r="AO113" s="37">
        <v>0</v>
      </c>
      <c r="AP113" s="37">
        <v>0</v>
      </c>
      <c r="AQ113" s="37">
        <v>0</v>
      </c>
      <c r="AR113" s="37">
        <v>0</v>
      </c>
      <c r="AS113" s="37">
        <v>0</v>
      </c>
      <c r="AT113" s="37">
        <v>0</v>
      </c>
      <c r="AU113" s="37">
        <v>0</v>
      </c>
      <c r="AV113" s="37">
        <v>0</v>
      </c>
      <c r="AW113" s="37">
        <v>0</v>
      </c>
      <c r="AX113" s="37">
        <v>0</v>
      </c>
      <c r="AY113" s="37">
        <v>0</v>
      </c>
      <c r="AZ113" s="37">
        <v>0</v>
      </c>
    </row>
    <row r="114" spans="2:52" ht="17" customHeight="1" x14ac:dyDescent="0.45">
      <c r="B114" s="33" t="s">
        <v>131</v>
      </c>
      <c r="C114" s="29" t="s">
        <v>5</v>
      </c>
      <c r="D114" s="19" t="str">
        <f>IF('TECHNOLOGY REGISTER'!D13="","",'TECHNOLOGY REGISTER'!D13)</f>
        <v>Wind</v>
      </c>
      <c r="E114" s="32"/>
      <c r="F114" s="32" t="s">
        <v>98</v>
      </c>
      <c r="G114" s="36">
        <v>0</v>
      </c>
      <c r="H114" s="36">
        <v>0</v>
      </c>
      <c r="I114" s="36">
        <v>0</v>
      </c>
      <c r="J114" s="36">
        <v>0</v>
      </c>
      <c r="K114" s="36">
        <v>0</v>
      </c>
      <c r="L114" s="36">
        <v>0</v>
      </c>
      <c r="M114" s="36">
        <v>0</v>
      </c>
      <c r="N114" s="36">
        <v>0</v>
      </c>
      <c r="O114" s="36">
        <v>0</v>
      </c>
      <c r="P114" s="36">
        <v>0</v>
      </c>
      <c r="Q114" s="36">
        <v>0</v>
      </c>
      <c r="R114" s="36">
        <v>0</v>
      </c>
      <c r="S114" s="36">
        <v>0</v>
      </c>
      <c r="T114" s="36">
        <v>0</v>
      </c>
      <c r="U114" s="36">
        <v>0</v>
      </c>
      <c r="V114" s="36">
        <v>0</v>
      </c>
      <c r="W114" s="36">
        <v>0</v>
      </c>
      <c r="X114" s="36">
        <v>0</v>
      </c>
      <c r="Y114" s="36">
        <v>0</v>
      </c>
      <c r="Z114" s="36">
        <v>0</v>
      </c>
      <c r="AA114" s="36">
        <v>0</v>
      </c>
      <c r="AB114" s="36">
        <v>0</v>
      </c>
      <c r="AC114" s="36">
        <v>0</v>
      </c>
      <c r="AD114" s="36">
        <v>0</v>
      </c>
      <c r="AE114" s="36">
        <v>0</v>
      </c>
      <c r="AF114" s="36">
        <v>0</v>
      </c>
      <c r="AG114" s="36">
        <v>0</v>
      </c>
      <c r="AH114" s="36">
        <v>0</v>
      </c>
      <c r="AI114" s="36">
        <v>0</v>
      </c>
      <c r="AJ114" s="36">
        <v>0</v>
      </c>
      <c r="AK114" s="36">
        <v>0</v>
      </c>
      <c r="AL114" s="36">
        <v>0</v>
      </c>
      <c r="AM114" s="36">
        <v>0</v>
      </c>
      <c r="AN114" s="36">
        <v>0</v>
      </c>
      <c r="AO114" s="36">
        <v>0</v>
      </c>
      <c r="AP114" s="36">
        <v>0</v>
      </c>
      <c r="AQ114" s="36">
        <v>0</v>
      </c>
      <c r="AR114" s="36">
        <v>0</v>
      </c>
      <c r="AS114" s="36">
        <v>0</v>
      </c>
      <c r="AT114" s="36">
        <v>0</v>
      </c>
      <c r="AU114" s="36">
        <v>0</v>
      </c>
      <c r="AV114" s="36">
        <v>0</v>
      </c>
      <c r="AW114" s="36">
        <v>0</v>
      </c>
      <c r="AX114" s="36">
        <v>0</v>
      </c>
      <c r="AY114" s="36">
        <v>0</v>
      </c>
      <c r="AZ114" s="36">
        <v>0</v>
      </c>
    </row>
    <row r="115" spans="2:52" ht="17" customHeight="1" x14ac:dyDescent="0.45">
      <c r="B115" s="8" t="s">
        <v>131</v>
      </c>
      <c r="C115" s="30" t="s">
        <v>5</v>
      </c>
      <c r="D115" s="17" t="str">
        <f>IF('TECHNOLOGY REGISTER'!D14="","",'TECHNOLOGY REGISTER'!D14)</f>
        <v>Coal</v>
      </c>
      <c r="E115" s="38"/>
      <c r="F115" s="24" t="s">
        <v>98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37">
        <v>0</v>
      </c>
      <c r="P115" s="37">
        <v>0</v>
      </c>
      <c r="Q115" s="37">
        <v>0</v>
      </c>
      <c r="R115" s="37">
        <v>0</v>
      </c>
      <c r="S115" s="37">
        <v>0</v>
      </c>
      <c r="T115" s="37">
        <v>0</v>
      </c>
      <c r="U115" s="37">
        <v>0</v>
      </c>
      <c r="V115" s="37">
        <v>0</v>
      </c>
      <c r="W115" s="37">
        <v>0</v>
      </c>
      <c r="X115" s="37">
        <v>0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>
        <v>0</v>
      </c>
      <c r="AG115" s="37">
        <v>0</v>
      </c>
      <c r="AH115" s="37">
        <v>0</v>
      </c>
      <c r="AI115" s="37">
        <v>0</v>
      </c>
      <c r="AJ115" s="37">
        <v>0</v>
      </c>
      <c r="AK115" s="37">
        <v>0</v>
      </c>
      <c r="AL115" s="37">
        <v>0</v>
      </c>
      <c r="AM115" s="37">
        <v>0</v>
      </c>
      <c r="AN115" s="37">
        <v>0</v>
      </c>
      <c r="AO115" s="37">
        <v>0</v>
      </c>
      <c r="AP115" s="37">
        <v>0</v>
      </c>
      <c r="AQ115" s="37">
        <v>0</v>
      </c>
      <c r="AR115" s="37">
        <v>0</v>
      </c>
      <c r="AS115" s="37">
        <v>0</v>
      </c>
      <c r="AT115" s="37">
        <v>0</v>
      </c>
      <c r="AU115" s="37">
        <v>0</v>
      </c>
      <c r="AV115" s="37">
        <v>0</v>
      </c>
      <c r="AW115" s="37">
        <v>0</v>
      </c>
      <c r="AX115" s="37">
        <v>0</v>
      </c>
      <c r="AY115" s="37">
        <v>0</v>
      </c>
      <c r="AZ115" s="37">
        <v>0</v>
      </c>
    </row>
    <row r="116" spans="2:52" ht="17" customHeight="1" x14ac:dyDescent="0.45">
      <c r="B116" s="33" t="s">
        <v>131</v>
      </c>
      <c r="C116" s="29" t="s">
        <v>5</v>
      </c>
      <c r="D116" s="19" t="str">
        <f>IF('TECHNOLOGY REGISTER'!D15="","",'TECHNOLOGY REGISTER'!D15)</f>
        <v>Oil</v>
      </c>
      <c r="E116" s="32"/>
      <c r="F116" s="32" t="s">
        <v>98</v>
      </c>
      <c r="G116" s="36">
        <v>0</v>
      </c>
      <c r="H116" s="36">
        <v>0</v>
      </c>
      <c r="I116" s="36">
        <v>0</v>
      </c>
      <c r="J116" s="36">
        <v>0</v>
      </c>
      <c r="K116" s="36">
        <v>0</v>
      </c>
      <c r="L116" s="36">
        <v>0</v>
      </c>
      <c r="M116" s="36">
        <v>0</v>
      </c>
      <c r="N116" s="36">
        <v>0</v>
      </c>
      <c r="O116" s="36">
        <v>0</v>
      </c>
      <c r="P116" s="36">
        <v>0</v>
      </c>
      <c r="Q116" s="36">
        <v>0</v>
      </c>
      <c r="R116" s="36">
        <v>0</v>
      </c>
      <c r="S116" s="36">
        <v>0</v>
      </c>
      <c r="T116" s="36">
        <v>0</v>
      </c>
      <c r="U116" s="36">
        <v>0</v>
      </c>
      <c r="V116" s="36">
        <v>0</v>
      </c>
      <c r="W116" s="36">
        <v>0</v>
      </c>
      <c r="X116" s="36">
        <v>0</v>
      </c>
      <c r="Y116" s="36">
        <v>0</v>
      </c>
      <c r="Z116" s="36">
        <v>0</v>
      </c>
      <c r="AA116" s="36">
        <v>0</v>
      </c>
      <c r="AB116" s="36">
        <v>0</v>
      </c>
      <c r="AC116" s="36">
        <v>0</v>
      </c>
      <c r="AD116" s="36">
        <v>0</v>
      </c>
      <c r="AE116" s="36">
        <v>0</v>
      </c>
      <c r="AF116" s="36">
        <v>0</v>
      </c>
      <c r="AG116" s="36">
        <v>0</v>
      </c>
      <c r="AH116" s="36">
        <v>0</v>
      </c>
      <c r="AI116" s="36">
        <v>0</v>
      </c>
      <c r="AJ116" s="36">
        <v>0</v>
      </c>
      <c r="AK116" s="36">
        <v>0</v>
      </c>
      <c r="AL116" s="36">
        <v>0</v>
      </c>
      <c r="AM116" s="36">
        <v>0</v>
      </c>
      <c r="AN116" s="36">
        <v>0</v>
      </c>
      <c r="AO116" s="36">
        <v>0</v>
      </c>
      <c r="AP116" s="36">
        <v>0</v>
      </c>
      <c r="AQ116" s="36">
        <v>0</v>
      </c>
      <c r="AR116" s="36">
        <v>0</v>
      </c>
      <c r="AS116" s="36">
        <v>0</v>
      </c>
      <c r="AT116" s="36">
        <v>0</v>
      </c>
      <c r="AU116" s="36">
        <v>0</v>
      </c>
      <c r="AV116" s="36">
        <v>0</v>
      </c>
      <c r="AW116" s="36">
        <v>0</v>
      </c>
      <c r="AX116" s="36">
        <v>0</v>
      </c>
      <c r="AY116" s="36">
        <v>0</v>
      </c>
      <c r="AZ116" s="36">
        <v>0</v>
      </c>
    </row>
    <row r="117" spans="2:52" ht="17" customHeight="1" x14ac:dyDescent="0.45">
      <c r="B117" s="8" t="s">
        <v>131</v>
      </c>
      <c r="C117" s="30" t="s">
        <v>5</v>
      </c>
      <c r="D117" s="17" t="str">
        <f>IF('TECHNOLOGY REGISTER'!D16="","",'TECHNOLOGY REGISTER'!D16)</f>
        <v>Gas</v>
      </c>
      <c r="E117" s="38"/>
      <c r="F117" s="24" t="s">
        <v>98</v>
      </c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</row>
    <row r="118" spans="2:52" ht="17" customHeight="1" x14ac:dyDescent="0.45">
      <c r="B118" s="33" t="s">
        <v>131</v>
      </c>
      <c r="C118" s="29" t="s">
        <v>5</v>
      </c>
      <c r="D118" s="19" t="str">
        <f>IF('TECHNOLOGY REGISTER'!D17="","",'TECHNOLOGY REGISTER'!D17)</f>
        <v>Transmission</v>
      </c>
      <c r="E118" s="32"/>
      <c r="F118" s="32" t="s">
        <v>98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</row>
    <row r="119" spans="2:52" ht="17" customHeight="1" x14ac:dyDescent="0.45">
      <c r="B119" s="8" t="s">
        <v>131</v>
      </c>
      <c r="C119" s="30" t="s">
        <v>5</v>
      </c>
      <c r="D119" s="17" t="str">
        <f>IF('TECHNOLOGY REGISTER'!D18="","",'TECHNOLOGY REGISTER'!D18)</f>
        <v>Distribution</v>
      </c>
      <c r="E119" s="38"/>
      <c r="F119" s="24" t="s">
        <v>98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37">
        <v>0</v>
      </c>
      <c r="P119" s="37">
        <v>0</v>
      </c>
      <c r="Q119" s="37">
        <v>0</v>
      </c>
      <c r="R119" s="37">
        <v>0</v>
      </c>
      <c r="S119" s="37">
        <v>0</v>
      </c>
      <c r="T119" s="37">
        <v>0</v>
      </c>
      <c r="U119" s="37">
        <v>0</v>
      </c>
      <c r="V119" s="37">
        <v>0</v>
      </c>
      <c r="W119" s="37">
        <v>0</v>
      </c>
      <c r="X119" s="37">
        <v>0</v>
      </c>
      <c r="Y119" s="37">
        <v>0</v>
      </c>
      <c r="Z119" s="37">
        <v>0</v>
      </c>
      <c r="AA119" s="37">
        <v>0</v>
      </c>
      <c r="AB119" s="37">
        <v>0</v>
      </c>
      <c r="AC119" s="37">
        <v>0</v>
      </c>
      <c r="AD119" s="37">
        <v>0</v>
      </c>
      <c r="AE119" s="37">
        <v>0</v>
      </c>
      <c r="AF119" s="37">
        <v>0</v>
      </c>
      <c r="AG119" s="37">
        <v>0</v>
      </c>
      <c r="AH119" s="37">
        <v>0</v>
      </c>
      <c r="AI119" s="37">
        <v>0</v>
      </c>
      <c r="AJ119" s="37">
        <v>0</v>
      </c>
      <c r="AK119" s="37">
        <v>0</v>
      </c>
      <c r="AL119" s="37">
        <v>0</v>
      </c>
      <c r="AM119" s="37">
        <v>0</v>
      </c>
      <c r="AN119" s="37">
        <v>0</v>
      </c>
      <c r="AO119" s="37">
        <v>0</v>
      </c>
      <c r="AP119" s="37">
        <v>0</v>
      </c>
      <c r="AQ119" s="37">
        <v>0</v>
      </c>
      <c r="AR119" s="37">
        <v>0</v>
      </c>
      <c r="AS119" s="37">
        <v>0</v>
      </c>
      <c r="AT119" s="37">
        <v>0</v>
      </c>
      <c r="AU119" s="37">
        <v>0</v>
      </c>
      <c r="AV119" s="37">
        <v>0</v>
      </c>
      <c r="AW119" s="37">
        <v>0</v>
      </c>
      <c r="AX119" s="37">
        <v>0</v>
      </c>
      <c r="AY119" s="37">
        <v>0</v>
      </c>
      <c r="AZ119" s="37">
        <v>0</v>
      </c>
    </row>
    <row r="120" spans="2:52" ht="17" customHeight="1" x14ac:dyDescent="0.45">
      <c r="B120" s="33" t="s">
        <v>131</v>
      </c>
      <c r="C120" s="29" t="s">
        <v>5</v>
      </c>
      <c r="D120" s="19" t="str">
        <f>IF('TECHNOLOGY REGISTER'!D19="","",'TECHNOLOGY REGISTER'!D19)</f>
        <v>Imports</v>
      </c>
      <c r="E120" s="32"/>
      <c r="F120" s="32" t="s">
        <v>98</v>
      </c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</row>
    <row r="121" spans="2:52" ht="17" customHeight="1" x14ac:dyDescent="0.45">
      <c r="B121" s="8" t="s">
        <v>131</v>
      </c>
      <c r="C121" s="30" t="s">
        <v>5</v>
      </c>
      <c r="D121" s="17" t="str">
        <f>IF('TECHNOLOGY REGISTER'!D20="","",'TECHNOLOGY REGISTER'!D20)</f>
        <v>Energy Exports</v>
      </c>
      <c r="E121" s="38"/>
      <c r="F121" s="24" t="s">
        <v>98</v>
      </c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</row>
    <row r="122" spans="2:52" ht="17" customHeight="1" x14ac:dyDescent="0.45">
      <c r="B122" s="33" t="s">
        <v>131</v>
      </c>
      <c r="C122" s="29" t="s">
        <v>5</v>
      </c>
      <c r="D122" s="19" t="str">
        <f>IF('TECHNOLOGY REGISTER'!D21="","",'TECHNOLOGY REGISTER'!D21)</f>
        <v>Direct Solar</v>
      </c>
      <c r="E122" s="32"/>
      <c r="F122" s="32" t="s">
        <v>98</v>
      </c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</row>
    <row r="123" spans="2:52" ht="15" customHeight="1" x14ac:dyDescent="0.45">
      <c r="B123" s="8" t="s">
        <v>131</v>
      </c>
      <c r="C123" s="30" t="s">
        <v>5</v>
      </c>
      <c r="D123" s="17" t="str">
        <f>IF('TECHNOLOGY REGISTER'!D22="","",'TECHNOLOGY REGISTER'!D22)</f>
        <v>Direct Oil</v>
      </c>
      <c r="E123" s="38"/>
      <c r="F123" s="24" t="s">
        <v>98</v>
      </c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</row>
    <row r="124" spans="2:52" ht="15" customHeight="1" x14ac:dyDescent="0.45">
      <c r="B124" s="33" t="s">
        <v>131</v>
      </c>
      <c r="C124" s="29" t="s">
        <v>5</v>
      </c>
      <c r="D124" s="19" t="str">
        <f>IF('TECHNOLOGY REGISTER'!D23="","",'TECHNOLOGY REGISTER'!D23)</f>
        <v>Direct Hydro</v>
      </c>
      <c r="E124" s="32"/>
      <c r="F124" s="32" t="s">
        <v>98</v>
      </c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</row>
    <row r="125" spans="2:52" ht="15" customHeight="1" x14ac:dyDescent="0.45">
      <c r="B125" s="8" t="s">
        <v>131</v>
      </c>
      <c r="C125" s="30" t="s">
        <v>5</v>
      </c>
      <c r="D125" s="17" t="str">
        <f>IF('TECHNOLOGY REGISTER'!D24="","",'TECHNOLOGY REGISTER'!D24)</f>
        <v/>
      </c>
      <c r="E125" s="38"/>
      <c r="F125" s="24" t="s">
        <v>98</v>
      </c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</row>
    <row r="126" spans="2:52" ht="15" customHeight="1" x14ac:dyDescent="0.45">
      <c r="B126" s="33" t="s">
        <v>131</v>
      </c>
      <c r="C126" s="29" t="s">
        <v>5</v>
      </c>
      <c r="D126" s="19" t="str">
        <f>IF('TECHNOLOGY REGISTER'!D25="","",'TECHNOLOGY REGISTER'!D25)</f>
        <v/>
      </c>
      <c r="E126" s="32"/>
      <c r="F126" s="32" t="s">
        <v>98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</row>
    <row r="127" spans="2:52" ht="15" customHeight="1" x14ac:dyDescent="0.45">
      <c r="B127" s="8" t="s">
        <v>131</v>
      </c>
      <c r="C127" s="30" t="s">
        <v>5</v>
      </c>
      <c r="D127" s="17" t="str">
        <f>IF('TECHNOLOGY REGISTER'!D26="","",'TECHNOLOGY REGISTER'!D26)</f>
        <v/>
      </c>
      <c r="E127" s="38"/>
      <c r="F127" s="24" t="s">
        <v>98</v>
      </c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</row>
    <row r="128" spans="2:52" ht="15" customHeight="1" x14ac:dyDescent="0.45">
      <c r="B128" s="33" t="s">
        <v>131</v>
      </c>
      <c r="C128" s="29" t="s">
        <v>5</v>
      </c>
      <c r="D128" s="19" t="str">
        <f>IF('TECHNOLOGY REGISTER'!D27="","",'TECHNOLOGY REGISTER'!D27)</f>
        <v/>
      </c>
      <c r="E128" s="32"/>
      <c r="F128" s="32" t="s">
        <v>98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</row>
    <row r="129" spans="2:52" ht="15" customHeight="1" x14ac:dyDescent="0.45">
      <c r="B129" s="8" t="s">
        <v>131</v>
      </c>
      <c r="C129" s="30" t="s">
        <v>5</v>
      </c>
      <c r="D129" s="17" t="str">
        <f>IF('TECHNOLOGY REGISTER'!D28="","",'TECHNOLOGY REGISTER'!D28)</f>
        <v/>
      </c>
      <c r="E129" s="38"/>
      <c r="F129" s="24" t="s">
        <v>98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</row>
    <row r="130" spans="2:52" ht="15" customHeight="1" x14ac:dyDescent="0.45">
      <c r="B130" s="33" t="s">
        <v>131</v>
      </c>
      <c r="C130" s="29" t="s">
        <v>5</v>
      </c>
      <c r="D130" s="19" t="str">
        <f>IF('TECHNOLOGY REGISTER'!D29="","",'TECHNOLOGY REGISTER'!D29)</f>
        <v/>
      </c>
      <c r="E130" s="32"/>
      <c r="F130" s="32" t="s">
        <v>98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2:52" ht="15" customHeight="1" x14ac:dyDescent="0.45">
      <c r="B131" s="8" t="s">
        <v>131</v>
      </c>
      <c r="C131" s="30" t="s">
        <v>5</v>
      </c>
      <c r="D131" s="17" t="str">
        <f>IF('TECHNOLOGY REGISTER'!D30="","",'TECHNOLOGY REGISTER'!D30)</f>
        <v/>
      </c>
      <c r="E131" s="38"/>
      <c r="F131" s="24" t="s">
        <v>98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</row>
    <row r="132" spans="2:52" ht="15" customHeight="1" x14ac:dyDescent="0.45">
      <c r="B132" s="33" t="s">
        <v>131</v>
      </c>
      <c r="C132" s="29" t="s">
        <v>5</v>
      </c>
      <c r="D132" s="19" t="str">
        <f>IF('TECHNOLOGY REGISTER'!D31="","",'TECHNOLOGY REGISTER'!D31)</f>
        <v/>
      </c>
      <c r="E132" s="32"/>
      <c r="F132" s="32" t="s">
        <v>98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</row>
    <row r="133" spans="2:52" ht="15" customHeight="1" x14ac:dyDescent="0.45">
      <c r="B133" s="8" t="s">
        <v>131</v>
      </c>
      <c r="C133" s="30" t="s">
        <v>5</v>
      </c>
      <c r="D133" s="17" t="str">
        <f>IF('TECHNOLOGY REGISTER'!D32="","",'TECHNOLOGY REGISTER'!D32)</f>
        <v/>
      </c>
      <c r="E133" s="38"/>
      <c r="F133" s="24" t="s">
        <v>98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</row>
    <row r="134" spans="2:52" ht="15" customHeight="1" x14ac:dyDescent="0.45">
      <c r="B134" s="33" t="s">
        <v>131</v>
      </c>
      <c r="C134" s="29" t="s">
        <v>5</v>
      </c>
      <c r="D134" s="19" t="str">
        <f>IF('TECHNOLOGY REGISTER'!D33="","",'TECHNOLOGY REGISTER'!D33)</f>
        <v/>
      </c>
      <c r="E134" s="32"/>
      <c r="F134" s="32" t="s">
        <v>98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</row>
    <row r="135" spans="2:52" ht="15" customHeight="1" x14ac:dyDescent="0.45">
      <c r="B135" s="8" t="s">
        <v>131</v>
      </c>
      <c r="C135" s="30" t="s">
        <v>5</v>
      </c>
      <c r="D135" s="17" t="str">
        <f>IF('TECHNOLOGY REGISTER'!D34="","",'TECHNOLOGY REGISTER'!D34)</f>
        <v/>
      </c>
      <c r="E135" s="38"/>
      <c r="F135" s="24" t="s">
        <v>98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</row>
    <row r="136" spans="2:52" ht="15" customHeight="1" x14ac:dyDescent="0.45">
      <c r="B136" s="33" t="s">
        <v>131</v>
      </c>
      <c r="C136" s="29" t="s">
        <v>5</v>
      </c>
      <c r="D136" s="19" t="str">
        <f>IF('TECHNOLOGY REGISTER'!D35="","",'TECHNOLOGY REGISTER'!D35)</f>
        <v/>
      </c>
      <c r="E136" s="32"/>
      <c r="F136" s="32" t="s">
        <v>98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</row>
    <row r="137" spans="2:52" ht="15" customHeight="1" x14ac:dyDescent="0.45">
      <c r="B137" s="8" t="s">
        <v>131</v>
      </c>
      <c r="C137" s="30" t="s">
        <v>5</v>
      </c>
      <c r="D137" s="17" t="str">
        <f>IF('TECHNOLOGY REGISTER'!D36="","",'TECHNOLOGY REGISTER'!D36)</f>
        <v/>
      </c>
      <c r="E137" s="38"/>
      <c r="F137" s="24" t="s">
        <v>98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</row>
    <row r="138" spans="2:52" ht="15" customHeight="1" x14ac:dyDescent="0.45">
      <c r="B138" s="33" t="s">
        <v>131</v>
      </c>
      <c r="C138" s="29" t="s">
        <v>5</v>
      </c>
      <c r="D138" s="19" t="str">
        <f>IF('TECHNOLOGY REGISTER'!D37="","",'TECHNOLOGY REGISTER'!D37)</f>
        <v/>
      </c>
      <c r="E138" s="32"/>
      <c r="F138" s="32" t="s">
        <v>98</v>
      </c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</row>
    <row r="139" spans="2:52" ht="15" customHeight="1" x14ac:dyDescent="0.45">
      <c r="B139" s="8" t="s">
        <v>131</v>
      </c>
      <c r="C139" s="30" t="s">
        <v>5</v>
      </c>
      <c r="D139" s="17" t="str">
        <f>IF('TECHNOLOGY REGISTER'!D38="","",'TECHNOLOGY REGISTER'!D38)</f>
        <v/>
      </c>
      <c r="E139" s="38"/>
      <c r="F139" s="24" t="s">
        <v>98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</row>
    <row r="140" spans="2:52" ht="15" customHeight="1" x14ac:dyDescent="0.45">
      <c r="B140" s="33" t="s">
        <v>131</v>
      </c>
      <c r="C140" s="29" t="s">
        <v>5</v>
      </c>
      <c r="D140" s="19" t="str">
        <f>IF('TECHNOLOGY REGISTER'!D39="","",'TECHNOLOGY REGISTER'!D39)</f>
        <v/>
      </c>
      <c r="E140" s="32"/>
      <c r="F140" s="32" t="s">
        <v>98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</row>
    <row r="141" spans="2:52" ht="15" customHeight="1" x14ac:dyDescent="0.45">
      <c r="B141" s="8" t="s">
        <v>131</v>
      </c>
      <c r="C141" s="30" t="s">
        <v>5</v>
      </c>
      <c r="D141" s="17" t="str">
        <f>IF('TECHNOLOGY REGISTER'!D40="","",'TECHNOLOGY REGISTER'!D40)</f>
        <v/>
      </c>
      <c r="E141" s="38"/>
      <c r="F141" s="24" t="s">
        <v>98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</row>
    <row r="142" spans="2:52" ht="15" customHeight="1" x14ac:dyDescent="0.45">
      <c r="B142" s="33" t="s">
        <v>131</v>
      </c>
      <c r="C142" s="29" t="s">
        <v>5</v>
      </c>
      <c r="D142" s="19" t="str">
        <f>IF('TECHNOLOGY REGISTER'!D41="","",'TECHNOLOGY REGISTER'!D41)</f>
        <v/>
      </c>
      <c r="E142" s="32"/>
      <c r="F142" s="32" t="s">
        <v>98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</row>
    <row r="143" spans="2:52" ht="15" customHeight="1" x14ac:dyDescent="0.45">
      <c r="B143" s="8" t="s">
        <v>131</v>
      </c>
      <c r="C143" s="30" t="s">
        <v>5</v>
      </c>
      <c r="D143" s="17" t="str">
        <f>IF('TECHNOLOGY REGISTER'!D42="","",'TECHNOLOGY REGISTER'!D42)</f>
        <v/>
      </c>
      <c r="E143" s="38"/>
      <c r="F143" s="24" t="s">
        <v>98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</row>
    <row r="144" spans="2:52" ht="15" customHeight="1" x14ac:dyDescent="0.45">
      <c r="B144" s="33" t="s">
        <v>131</v>
      </c>
      <c r="C144" s="29" t="s">
        <v>5</v>
      </c>
      <c r="D144" s="19" t="str">
        <f>IF('TECHNOLOGY REGISTER'!D43="","",'TECHNOLOGY REGISTER'!D43)</f>
        <v/>
      </c>
      <c r="E144" s="32"/>
      <c r="F144" s="32" t="s">
        <v>98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</row>
    <row r="145" spans="2:52" ht="15" customHeight="1" x14ac:dyDescent="0.45">
      <c r="B145" s="8" t="s">
        <v>131</v>
      </c>
      <c r="C145" s="30" t="s">
        <v>5</v>
      </c>
      <c r="D145" s="17" t="str">
        <f>IF('TECHNOLOGY REGISTER'!D44="","",'TECHNOLOGY REGISTER'!D44)</f>
        <v/>
      </c>
      <c r="E145" s="38"/>
      <c r="F145" s="24" t="s">
        <v>98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</row>
    <row r="146" spans="2:52" ht="15" customHeight="1" x14ac:dyDescent="0.45">
      <c r="B146" s="33" t="s">
        <v>131</v>
      </c>
      <c r="C146" s="29" t="s">
        <v>5</v>
      </c>
      <c r="D146" s="19" t="str">
        <f>IF('TECHNOLOGY REGISTER'!D45="","",'TECHNOLOGY REGISTER'!D45)</f>
        <v/>
      </c>
      <c r="E146" s="32"/>
      <c r="F146" s="32" t="s">
        <v>98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2:52" ht="15" customHeight="1" x14ac:dyDescent="0.45">
      <c r="B147" s="8" t="s">
        <v>131</v>
      </c>
      <c r="C147" s="30" t="s">
        <v>5</v>
      </c>
      <c r="D147" s="17" t="str">
        <f>IF('TECHNOLOGY REGISTER'!D46="","",'TECHNOLOGY REGISTER'!D46)</f>
        <v/>
      </c>
      <c r="E147" s="38"/>
      <c r="F147" s="24" t="s">
        <v>98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</row>
    <row r="148" spans="2:52" ht="15" customHeight="1" x14ac:dyDescent="0.45">
      <c r="B148" s="33" t="s">
        <v>131</v>
      </c>
      <c r="C148" s="29" t="s">
        <v>5</v>
      </c>
      <c r="D148" s="19" t="str">
        <f>IF('TECHNOLOGY REGISTER'!D47="","",'TECHNOLOGY REGISTER'!D47)</f>
        <v/>
      </c>
      <c r="E148" s="32"/>
      <c r="F148" s="32" t="s">
        <v>98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</row>
    <row r="149" spans="2:52" ht="15" customHeight="1" x14ac:dyDescent="0.45">
      <c r="B149" s="8" t="s">
        <v>131</v>
      </c>
      <c r="C149" s="30" t="s">
        <v>5</v>
      </c>
      <c r="D149" s="17" t="str">
        <f>IF('TECHNOLOGY REGISTER'!D48="","",'TECHNOLOGY REGISTER'!D48)</f>
        <v/>
      </c>
      <c r="E149" s="38"/>
      <c r="F149" s="24" t="s">
        <v>98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</row>
    <row r="150" spans="2:52" ht="15" customHeight="1" x14ac:dyDescent="0.45">
      <c r="B150" s="33" t="s">
        <v>131</v>
      </c>
      <c r="C150" s="29" t="s">
        <v>5</v>
      </c>
      <c r="D150" s="19" t="str">
        <f>IF('TECHNOLOGY REGISTER'!D49="","",'TECHNOLOGY REGISTER'!D49)</f>
        <v/>
      </c>
      <c r="E150" s="32"/>
      <c r="F150" s="32" t="s">
        <v>98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</row>
    <row r="151" spans="2:52" ht="15" customHeight="1" x14ac:dyDescent="0.45">
      <c r="B151" s="8" t="s">
        <v>131</v>
      </c>
      <c r="C151" s="30" t="s">
        <v>5</v>
      </c>
      <c r="D151" s="17" t="str">
        <f>IF('TECHNOLOGY REGISTER'!D50="","",'TECHNOLOGY REGISTER'!D50)</f>
        <v/>
      </c>
      <c r="E151" s="38"/>
      <c r="F151" s="24" t="s">
        <v>98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</row>
    <row r="152" spans="2:52" ht="15" customHeight="1" x14ac:dyDescent="0.45">
      <c r="B152" s="33" t="s">
        <v>131</v>
      </c>
      <c r="C152" s="29" t="s">
        <v>5</v>
      </c>
      <c r="D152" s="19" t="str">
        <f>IF('TECHNOLOGY REGISTER'!D51="","",'TECHNOLOGY REGISTER'!D51)</f>
        <v/>
      </c>
      <c r="E152" s="32"/>
      <c r="F152" s="32" t="s">
        <v>98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</row>
    <row r="153" spans="2:52" ht="15" customHeight="1" x14ac:dyDescent="0.45">
      <c r="B153" s="8" t="s">
        <v>131</v>
      </c>
      <c r="C153" s="30" t="s">
        <v>5</v>
      </c>
      <c r="D153" s="17" t="str">
        <f>IF('TECHNOLOGY REGISTER'!D52="","",'TECHNOLOGY REGISTER'!D52)</f>
        <v/>
      </c>
      <c r="E153" s="38"/>
      <c r="F153" s="24" t="s">
        <v>98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</row>
    <row r="154" spans="2:52" ht="15" customHeight="1" x14ac:dyDescent="0.45">
      <c r="B154" s="33" t="s">
        <v>131</v>
      </c>
      <c r="C154" s="29" t="s">
        <v>5</v>
      </c>
      <c r="D154" s="19" t="str">
        <f>IF('TECHNOLOGY REGISTER'!D53="","",'TECHNOLOGY REGISTER'!D53)</f>
        <v/>
      </c>
      <c r="E154" s="32"/>
      <c r="F154" s="32" t="s">
        <v>98</v>
      </c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</row>
    <row r="155" spans="2:52" ht="15" customHeight="1" x14ac:dyDescent="0.45">
      <c r="B155" s="8" t="s">
        <v>131</v>
      </c>
      <c r="C155" s="30" t="s">
        <v>5</v>
      </c>
      <c r="D155" s="17" t="str">
        <f>IF('TECHNOLOGY REGISTER'!D54="","",'TECHNOLOGY REGISTER'!D54)</f>
        <v/>
      </c>
      <c r="E155" s="38"/>
      <c r="F155" s="24" t="s">
        <v>98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</row>
    <row r="156" spans="2:52" ht="15" customHeight="1" x14ac:dyDescent="0.45">
      <c r="B156" s="33" t="s">
        <v>131</v>
      </c>
      <c r="C156" s="29" t="s">
        <v>5</v>
      </c>
      <c r="D156" s="19" t="str">
        <f>IF('TECHNOLOGY REGISTER'!D55="","",'TECHNOLOGY REGISTER'!D55)</f>
        <v/>
      </c>
      <c r="E156" s="32"/>
      <c r="F156" s="32" t="s">
        <v>98</v>
      </c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</row>
    <row r="157" spans="2:52" ht="15" customHeight="1" thickBot="1" x14ac:dyDescent="0.5">
      <c r="B157" s="8" t="s">
        <v>131</v>
      </c>
      <c r="C157" s="30" t="s">
        <v>5</v>
      </c>
      <c r="D157" s="17" t="str">
        <f>IF('TECHNOLOGY REGISTER'!D56="","",'TECHNOLOGY REGISTER'!D56)</f>
        <v/>
      </c>
      <c r="E157" s="38"/>
      <c r="F157" s="24" t="s">
        <v>98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</row>
    <row r="158" spans="2:52" customFormat="1" ht="20" customHeight="1" x14ac:dyDescent="0.5">
      <c r="B158" s="69" t="s">
        <v>148</v>
      </c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</row>
    <row r="159" spans="2:52" ht="17" customHeight="1" x14ac:dyDescent="0.45">
      <c r="B159" s="33" t="s">
        <v>132</v>
      </c>
      <c r="C159" s="29" t="s">
        <v>5</v>
      </c>
      <c r="D159" s="19" t="str">
        <f>IF('TECHNOLOGY REGISTER'!D7="","",'TECHNOLOGY REGISTER'!D7)</f>
        <v>Biomass</v>
      </c>
      <c r="E159" s="36" t="s">
        <v>53</v>
      </c>
      <c r="F159" s="32" t="str">
        <f>IF(E159="","",E159&amp;"/kWh")</f>
        <v>KES/kWh</v>
      </c>
      <c r="G159" s="36">
        <v>15.666666666666666</v>
      </c>
      <c r="H159" s="36">
        <v>15.666666666666666</v>
      </c>
      <c r="I159" s="36">
        <v>15.666666666666666</v>
      </c>
      <c r="J159" s="36">
        <v>15.666666666666666</v>
      </c>
      <c r="K159" s="36">
        <v>15.666666666666666</v>
      </c>
      <c r="L159" s="36">
        <v>15.666666666666666</v>
      </c>
      <c r="M159" s="36">
        <v>15.666666666666666</v>
      </c>
      <c r="N159" s="36">
        <v>15.666666666666666</v>
      </c>
      <c r="O159" s="36">
        <v>15.666666666666666</v>
      </c>
      <c r="P159" s="36">
        <v>15.666666666666666</v>
      </c>
      <c r="Q159" s="36">
        <v>15.666666666666666</v>
      </c>
      <c r="R159" s="36">
        <v>15.666666666666666</v>
      </c>
      <c r="S159" s="36">
        <v>15.666666666666666</v>
      </c>
      <c r="T159" s="36">
        <v>15.666666666666666</v>
      </c>
      <c r="U159" s="36">
        <v>15.666666666666666</v>
      </c>
      <c r="V159" s="36">
        <v>15.666666666666666</v>
      </c>
      <c r="W159" s="36">
        <v>15.666666666666666</v>
      </c>
      <c r="X159" s="36">
        <v>15.666666666666666</v>
      </c>
      <c r="Y159" s="36">
        <v>15.666666666666666</v>
      </c>
      <c r="Z159" s="36">
        <v>15.666666666666666</v>
      </c>
      <c r="AA159" s="36">
        <v>15.666666666666666</v>
      </c>
      <c r="AB159" s="36">
        <v>15.666666666666666</v>
      </c>
      <c r="AC159" s="36">
        <v>15.666666666666666</v>
      </c>
      <c r="AD159" s="36">
        <v>15.666666666666666</v>
      </c>
      <c r="AE159" s="36">
        <v>15.666666666666666</v>
      </c>
      <c r="AF159" s="36">
        <v>15.666666666666666</v>
      </c>
      <c r="AG159" s="36">
        <v>15.666666666666666</v>
      </c>
      <c r="AH159" s="36">
        <v>15.666666666666666</v>
      </c>
      <c r="AI159" s="36">
        <v>15.666666666666666</v>
      </c>
      <c r="AJ159" s="36">
        <v>15.666666666666666</v>
      </c>
      <c r="AK159" s="36">
        <v>15.666666666666666</v>
      </c>
      <c r="AL159" s="36">
        <v>15.666666666666666</v>
      </c>
      <c r="AM159" s="36">
        <v>15.666666666666666</v>
      </c>
      <c r="AN159" s="36">
        <v>15.666666666666666</v>
      </c>
      <c r="AO159" s="36">
        <v>15.666666666666666</v>
      </c>
      <c r="AP159" s="36">
        <v>15.666666666666666</v>
      </c>
      <c r="AQ159" s="36">
        <v>15.666666666666666</v>
      </c>
      <c r="AR159" s="36">
        <v>15.666666666666666</v>
      </c>
      <c r="AS159" s="36">
        <v>15.666666666666666</v>
      </c>
      <c r="AT159" s="36">
        <v>15.666666666666666</v>
      </c>
      <c r="AU159" s="36">
        <v>15.666666666666666</v>
      </c>
      <c r="AV159" s="36">
        <v>15.666666666666666</v>
      </c>
      <c r="AW159" s="36">
        <v>15.666666666666666</v>
      </c>
      <c r="AX159" s="36">
        <v>15.666666666666666</v>
      </c>
      <c r="AY159" s="36">
        <v>15.666666666666666</v>
      </c>
      <c r="AZ159" s="36">
        <v>15.666666666666666</v>
      </c>
    </row>
    <row r="160" spans="2:52" ht="17" customHeight="1" x14ac:dyDescent="0.45">
      <c r="B160" s="8" t="s">
        <v>132</v>
      </c>
      <c r="C160" s="30" t="s">
        <v>5</v>
      </c>
      <c r="D160" s="17" t="str">
        <f>IF('TECHNOLOGY REGISTER'!D8="","",'TECHNOLOGY REGISTER'!D8)</f>
        <v>Geothermal</v>
      </c>
      <c r="E160" s="37" t="s">
        <v>53</v>
      </c>
      <c r="F160" s="24" t="str">
        <f t="shared" ref="F160:F208" si="0">IF(E160="","",E160&amp;"/kWh")</f>
        <v>KES/kWh</v>
      </c>
      <c r="G160" s="37">
        <v>2.2191400839454354</v>
      </c>
      <c r="H160" s="37">
        <v>2.2191400839454354</v>
      </c>
      <c r="I160" s="37">
        <v>2.2191400839454354</v>
      </c>
      <c r="J160" s="37">
        <v>2.2191400839454354</v>
      </c>
      <c r="K160" s="37">
        <v>2.2191400839454354</v>
      </c>
      <c r="L160" s="37">
        <v>2.2191400839454354</v>
      </c>
      <c r="M160" s="37">
        <v>2.2191400839454354</v>
      </c>
      <c r="N160" s="37">
        <v>2.2191400839454354</v>
      </c>
      <c r="O160" s="37">
        <v>2.2191400839454354</v>
      </c>
      <c r="P160" s="37">
        <v>2.2191400839454354</v>
      </c>
      <c r="Q160" s="37">
        <v>2.2191400839454354</v>
      </c>
      <c r="R160" s="37">
        <v>2.2191400839454354</v>
      </c>
      <c r="S160" s="37">
        <v>2.2191400839454354</v>
      </c>
      <c r="T160" s="37">
        <v>2.2191400839454354</v>
      </c>
      <c r="U160" s="37">
        <v>2.2191400839454354</v>
      </c>
      <c r="V160" s="37">
        <v>2.2191400839454354</v>
      </c>
      <c r="W160" s="37">
        <v>2.2191400839454354</v>
      </c>
      <c r="X160" s="37">
        <v>2.2191400839454354</v>
      </c>
      <c r="Y160" s="37">
        <v>2.2191400839454354</v>
      </c>
      <c r="Z160" s="37">
        <v>2.2191400839454354</v>
      </c>
      <c r="AA160" s="37">
        <v>2.2191400839454354</v>
      </c>
      <c r="AB160" s="37">
        <v>2.2191400839454354</v>
      </c>
      <c r="AC160" s="37">
        <v>2.2191400839454354</v>
      </c>
      <c r="AD160" s="37">
        <v>2.2191400839454354</v>
      </c>
      <c r="AE160" s="37">
        <v>2.2191400839454354</v>
      </c>
      <c r="AF160" s="37">
        <v>2.2191400839454354</v>
      </c>
      <c r="AG160" s="37">
        <v>2.2191400839454354</v>
      </c>
      <c r="AH160" s="37">
        <v>2.2191400839454354</v>
      </c>
      <c r="AI160" s="37">
        <v>2.2191400839454354</v>
      </c>
      <c r="AJ160" s="37">
        <v>2.2191400839454354</v>
      </c>
      <c r="AK160" s="37">
        <v>2.2191400839454354</v>
      </c>
      <c r="AL160" s="37">
        <v>2.2191400839454354</v>
      </c>
      <c r="AM160" s="37">
        <v>2.2191400839454354</v>
      </c>
      <c r="AN160" s="37">
        <v>2.2191400839454354</v>
      </c>
      <c r="AO160" s="37">
        <v>2.2191400839454354</v>
      </c>
      <c r="AP160" s="37">
        <v>2.2191400839454354</v>
      </c>
      <c r="AQ160" s="37">
        <v>2.2191400839454354</v>
      </c>
      <c r="AR160" s="37">
        <v>2.2191400839454354</v>
      </c>
      <c r="AS160" s="37">
        <v>2.2191400839454354</v>
      </c>
      <c r="AT160" s="37">
        <v>2.2191400839454354</v>
      </c>
      <c r="AU160" s="37">
        <v>2.2191400839454354</v>
      </c>
      <c r="AV160" s="37">
        <v>2.2191400839454354</v>
      </c>
      <c r="AW160" s="37">
        <v>2.2191400839454354</v>
      </c>
      <c r="AX160" s="37">
        <v>2.2191400839454354</v>
      </c>
      <c r="AY160" s="37">
        <v>2.2191400839454354</v>
      </c>
      <c r="AZ160" s="37">
        <v>2.2191400839454354</v>
      </c>
    </row>
    <row r="161" spans="2:52" ht="17" customHeight="1" x14ac:dyDescent="0.45">
      <c r="B161" s="33" t="s">
        <v>132</v>
      </c>
      <c r="C161" s="29" t="s">
        <v>5</v>
      </c>
      <c r="D161" s="19" t="str">
        <f>IF('TECHNOLOGY REGISTER'!D9="","",'TECHNOLOGY REGISTER'!D9)</f>
        <v>Solar PV</v>
      </c>
      <c r="E161" s="36" t="s">
        <v>53</v>
      </c>
      <c r="F161" s="32" t="str">
        <f t="shared" si="0"/>
        <v>KES/kWh</v>
      </c>
      <c r="G161" s="36">
        <v>14.513179867672861</v>
      </c>
      <c r="H161" s="36">
        <v>14.130961955487503</v>
      </c>
      <c r="I161" s="36">
        <v>13.758910034852171</v>
      </c>
      <c r="J161" s="36">
        <v>13.396556703856515</v>
      </c>
      <c r="K161" s="36">
        <v>13.043785112022949</v>
      </c>
      <c r="L161" s="36">
        <v>12.700244707918715</v>
      </c>
      <c r="M161" s="36">
        <v>12.365701790588638</v>
      </c>
      <c r="N161" s="36">
        <v>12.040156360032721</v>
      </c>
      <c r="O161" s="36">
        <v>11.723024163863029</v>
      </c>
      <c r="P161" s="36">
        <v>11.414305202079564</v>
      </c>
      <c r="Q161" s="36">
        <v>11.113648923249565</v>
      </c>
      <c r="R161" s="36">
        <v>10.821055327373033</v>
      </c>
      <c r="S161" s="36">
        <v>10.536057012539622</v>
      </c>
      <c r="T161" s="36">
        <v>10.258537128271746</v>
      </c>
      <c r="U161" s="36">
        <v>9.9883788240918179</v>
      </c>
      <c r="V161" s="36">
        <v>9.7253483990446643</v>
      </c>
      <c r="W161" s="36">
        <v>9.7253483990446643</v>
      </c>
      <c r="X161" s="36">
        <v>9.7253483990446643</v>
      </c>
      <c r="Y161" s="36">
        <v>9.7253483990446643</v>
      </c>
      <c r="Z161" s="36">
        <v>9.7253483990446643</v>
      </c>
      <c r="AA161" s="36">
        <v>9.7253483990446643</v>
      </c>
      <c r="AB161" s="36">
        <v>9.7253483990446643</v>
      </c>
      <c r="AC161" s="36">
        <v>9.7253483990446643</v>
      </c>
      <c r="AD161" s="36">
        <v>9.7253483990446643</v>
      </c>
      <c r="AE161" s="36">
        <v>9.7253483990446643</v>
      </c>
      <c r="AF161" s="36">
        <v>9.7253483990446643</v>
      </c>
      <c r="AG161" s="36">
        <v>9.7253483990446643</v>
      </c>
      <c r="AH161" s="36">
        <v>9.7253483990446643</v>
      </c>
      <c r="AI161" s="36">
        <v>9.7253483990446643</v>
      </c>
      <c r="AJ161" s="36">
        <v>9.7253483990446643</v>
      </c>
      <c r="AK161" s="36">
        <v>9.7253483990446643</v>
      </c>
      <c r="AL161" s="36">
        <v>9.7253483990446643</v>
      </c>
      <c r="AM161" s="36">
        <v>9.7253483990446643</v>
      </c>
      <c r="AN161" s="36">
        <v>9.7253483990446643</v>
      </c>
      <c r="AO161" s="36">
        <v>9.7253483990446643</v>
      </c>
      <c r="AP161" s="36">
        <v>9.7253483990446643</v>
      </c>
      <c r="AQ161" s="36">
        <v>9.7253483990446643</v>
      </c>
      <c r="AR161" s="36">
        <v>9.7253483990446643</v>
      </c>
      <c r="AS161" s="36">
        <v>9.7253483990446643</v>
      </c>
      <c r="AT161" s="36">
        <v>9.7253483990446643</v>
      </c>
      <c r="AU161" s="36">
        <v>9.7253483990446643</v>
      </c>
      <c r="AV161" s="36">
        <v>9.7253483990446643</v>
      </c>
      <c r="AW161" s="36">
        <v>9.7253483990446643</v>
      </c>
      <c r="AX161" s="36">
        <v>9.7253483990446643</v>
      </c>
      <c r="AY161" s="36">
        <v>9.7253483990446643</v>
      </c>
      <c r="AZ161" s="36">
        <v>9.7253483990446643</v>
      </c>
    </row>
    <row r="162" spans="2:52" ht="17" customHeight="1" x14ac:dyDescent="0.45">
      <c r="B162" s="8" t="s">
        <v>132</v>
      </c>
      <c r="C162" s="30" t="s">
        <v>5</v>
      </c>
      <c r="D162" s="17" t="str">
        <f>IF('TECHNOLOGY REGISTER'!D10="","",'TECHNOLOGY REGISTER'!D10)</f>
        <v>CSP</v>
      </c>
      <c r="E162" s="37" t="s">
        <v>53</v>
      </c>
      <c r="F162" s="24" t="str">
        <f t="shared" si="0"/>
        <v>KES/kWh</v>
      </c>
      <c r="G162" s="37">
        <v>0.6824677337324413</v>
      </c>
      <c r="H162" s="37">
        <v>0.6824677337324413</v>
      </c>
      <c r="I162" s="37">
        <v>0.6824677337324413</v>
      </c>
      <c r="J162" s="37">
        <v>0.6824677337324413</v>
      </c>
      <c r="K162" s="37">
        <v>0.6824677337324413</v>
      </c>
      <c r="L162" s="37">
        <v>0.6824677337324413</v>
      </c>
      <c r="M162" s="37">
        <v>0.6824677337324413</v>
      </c>
      <c r="N162" s="37">
        <v>0.6824677337324413</v>
      </c>
      <c r="O162" s="37">
        <v>0.6824677337324413</v>
      </c>
      <c r="P162" s="37">
        <v>0.6824677337324413</v>
      </c>
      <c r="Q162" s="37">
        <v>0.6824677337324413</v>
      </c>
      <c r="R162" s="37">
        <v>0.6824677337324413</v>
      </c>
      <c r="S162" s="37">
        <v>0.6824677337324413</v>
      </c>
      <c r="T162" s="37">
        <v>0.6824677337324413</v>
      </c>
      <c r="U162" s="37">
        <v>0.6824677337324413</v>
      </c>
      <c r="V162" s="37">
        <v>0.6824677337324413</v>
      </c>
      <c r="W162" s="37">
        <v>0.6824677337324413</v>
      </c>
      <c r="X162" s="37">
        <v>0.6824677337324413</v>
      </c>
      <c r="Y162" s="37">
        <v>0.6824677337324413</v>
      </c>
      <c r="Z162" s="37">
        <v>0.6824677337324413</v>
      </c>
      <c r="AA162" s="37">
        <v>0.6824677337324413</v>
      </c>
      <c r="AB162" s="37">
        <v>0.6824677337324413</v>
      </c>
      <c r="AC162" s="37">
        <v>0.6824677337324413</v>
      </c>
      <c r="AD162" s="37">
        <v>0.6824677337324413</v>
      </c>
      <c r="AE162" s="37">
        <v>0.6824677337324413</v>
      </c>
      <c r="AF162" s="37">
        <v>0.6824677337324413</v>
      </c>
      <c r="AG162" s="37">
        <v>0.6824677337324413</v>
      </c>
      <c r="AH162" s="37">
        <v>0.6824677337324413</v>
      </c>
      <c r="AI162" s="37">
        <v>0.6824677337324413</v>
      </c>
      <c r="AJ162" s="37">
        <v>0.6824677337324413</v>
      </c>
      <c r="AK162" s="37">
        <v>0.6824677337324413</v>
      </c>
      <c r="AL162" s="37">
        <v>0.6824677337324413</v>
      </c>
      <c r="AM162" s="37">
        <v>0.6824677337324413</v>
      </c>
      <c r="AN162" s="37">
        <v>0.6824677337324413</v>
      </c>
      <c r="AO162" s="37">
        <v>0.6824677337324413</v>
      </c>
      <c r="AP162" s="37">
        <v>0.6824677337324413</v>
      </c>
      <c r="AQ162" s="37">
        <v>0.6824677337324413</v>
      </c>
      <c r="AR162" s="37">
        <v>0.6824677337324413</v>
      </c>
      <c r="AS162" s="37">
        <v>0.6824677337324413</v>
      </c>
      <c r="AT162" s="37">
        <v>0.6824677337324413</v>
      </c>
      <c r="AU162" s="37">
        <v>0.6824677337324413</v>
      </c>
      <c r="AV162" s="37">
        <v>0.6824677337324413</v>
      </c>
      <c r="AW162" s="37">
        <v>0.6824677337324413</v>
      </c>
      <c r="AX162" s="37">
        <v>0.6824677337324413</v>
      </c>
      <c r="AY162" s="37">
        <v>0.6824677337324413</v>
      </c>
      <c r="AZ162" s="37">
        <v>0.6824677337324413</v>
      </c>
    </row>
    <row r="163" spans="2:52" ht="17" customHeight="1" x14ac:dyDescent="0.45">
      <c r="B163" s="33" t="s">
        <v>132</v>
      </c>
      <c r="C163" s="29" t="s">
        <v>5</v>
      </c>
      <c r="D163" s="19" t="str">
        <f>IF('TECHNOLOGY REGISTER'!D11="","",'TECHNOLOGY REGISTER'!D11)</f>
        <v>Hydropower</v>
      </c>
      <c r="E163" s="36" t="s">
        <v>53</v>
      </c>
      <c r="F163" s="32" t="str">
        <f t="shared" si="0"/>
        <v>KES/kWh</v>
      </c>
      <c r="G163" s="36">
        <v>8.6457133276197879</v>
      </c>
      <c r="H163" s="36">
        <v>8.6457133276197879</v>
      </c>
      <c r="I163" s="36">
        <v>8.6457133276197879</v>
      </c>
      <c r="J163" s="36">
        <v>8.6457133276197879</v>
      </c>
      <c r="K163" s="36">
        <v>8.6457133276197879</v>
      </c>
      <c r="L163" s="36">
        <v>8.6457133276197879</v>
      </c>
      <c r="M163" s="36">
        <v>8.6457133276197879</v>
      </c>
      <c r="N163" s="36">
        <v>8.6457133276197879</v>
      </c>
      <c r="O163" s="36">
        <v>8.6457133276197879</v>
      </c>
      <c r="P163" s="36">
        <v>8.6457133276197879</v>
      </c>
      <c r="Q163" s="36">
        <v>8.6457133276197879</v>
      </c>
      <c r="R163" s="36">
        <v>8.6457133276197879</v>
      </c>
      <c r="S163" s="36">
        <v>8.6457133276197879</v>
      </c>
      <c r="T163" s="36">
        <v>8.6457133276197879</v>
      </c>
      <c r="U163" s="36">
        <v>8.6457133276197879</v>
      </c>
      <c r="V163" s="36">
        <v>8.6457133276197879</v>
      </c>
      <c r="W163" s="36">
        <v>8.6457133276197879</v>
      </c>
      <c r="X163" s="36">
        <v>8.6457133276197879</v>
      </c>
      <c r="Y163" s="36">
        <v>8.6457133276197879</v>
      </c>
      <c r="Z163" s="36">
        <v>8.6457133276197879</v>
      </c>
      <c r="AA163" s="36">
        <v>8.6457133276197879</v>
      </c>
      <c r="AB163" s="36">
        <v>8.6457133276197879</v>
      </c>
      <c r="AC163" s="36">
        <v>8.6457133276197879</v>
      </c>
      <c r="AD163" s="36">
        <v>8.6457133276197879</v>
      </c>
      <c r="AE163" s="36">
        <v>8.6457133276197879</v>
      </c>
      <c r="AF163" s="36">
        <v>8.6457133276197879</v>
      </c>
      <c r="AG163" s="36">
        <v>8.6457133276197879</v>
      </c>
      <c r="AH163" s="36">
        <v>8.6457133276197879</v>
      </c>
      <c r="AI163" s="36">
        <v>8.6457133276197879</v>
      </c>
      <c r="AJ163" s="36">
        <v>8.6457133276197879</v>
      </c>
      <c r="AK163" s="36">
        <v>8.6457133276197879</v>
      </c>
      <c r="AL163" s="36">
        <v>8.6457133276197879</v>
      </c>
      <c r="AM163" s="36">
        <v>8.6457133276197879</v>
      </c>
      <c r="AN163" s="36">
        <v>8.6457133276197879</v>
      </c>
      <c r="AO163" s="36">
        <v>8.6457133276197879</v>
      </c>
      <c r="AP163" s="36">
        <v>8.6457133276197879</v>
      </c>
      <c r="AQ163" s="36">
        <v>8.6457133276197879</v>
      </c>
      <c r="AR163" s="36">
        <v>8.6457133276197879</v>
      </c>
      <c r="AS163" s="36">
        <v>8.6457133276197879</v>
      </c>
      <c r="AT163" s="36">
        <v>8.6457133276197879</v>
      </c>
      <c r="AU163" s="36">
        <v>8.6457133276197879</v>
      </c>
      <c r="AV163" s="36">
        <v>8.6457133276197879</v>
      </c>
      <c r="AW163" s="36">
        <v>8.6457133276197879</v>
      </c>
      <c r="AX163" s="36">
        <v>8.6457133276197879</v>
      </c>
      <c r="AY163" s="36">
        <v>8.6457133276197879</v>
      </c>
      <c r="AZ163" s="36">
        <v>8.6457133276197879</v>
      </c>
    </row>
    <row r="164" spans="2:52" ht="17" customHeight="1" x14ac:dyDescent="0.45">
      <c r="B164" s="8" t="s">
        <v>132</v>
      </c>
      <c r="C164" s="30" t="s">
        <v>5</v>
      </c>
      <c r="D164" s="17" t="str">
        <f>IF('TECHNOLOGY REGISTER'!D12="","",'TECHNOLOGY REGISTER'!D12)</f>
        <v>Nuclear</v>
      </c>
      <c r="E164" s="37" t="s">
        <v>53</v>
      </c>
      <c r="F164" s="24" t="str">
        <f t="shared" si="0"/>
        <v>KES/kWh</v>
      </c>
      <c r="G164" s="37">
        <v>12.195435534591194</v>
      </c>
      <c r="H164" s="37">
        <v>12.154763858095775</v>
      </c>
      <c r="I164" s="37">
        <v>12.114292206238858</v>
      </c>
      <c r="J164" s="37">
        <v>12.073953904140941</v>
      </c>
      <c r="K164" s="37">
        <v>12.033748951802027</v>
      </c>
      <c r="L164" s="37">
        <v>11.993610674342614</v>
      </c>
      <c r="M164" s="37">
        <v>11.953672421521702</v>
      </c>
      <c r="N164" s="37">
        <v>11.913867518459792</v>
      </c>
      <c r="O164" s="37">
        <v>11.874129290277384</v>
      </c>
      <c r="P164" s="37">
        <v>11.834591086733477</v>
      </c>
      <c r="Q164" s="37">
        <v>11.79518623294857</v>
      </c>
      <c r="R164" s="37">
        <v>11.755848054043165</v>
      </c>
      <c r="S164" s="37">
        <v>11.71670989977626</v>
      </c>
      <c r="T164" s="37">
        <v>11.67763842038886</v>
      </c>
      <c r="U164" s="37">
        <v>11.638766965639958</v>
      </c>
      <c r="V164" s="37">
        <v>11.599962185770558</v>
      </c>
      <c r="W164" s="37">
        <v>11.599962185770558</v>
      </c>
      <c r="X164" s="37">
        <v>11.599962185770558</v>
      </c>
      <c r="Y164" s="37">
        <v>11.599962185770558</v>
      </c>
      <c r="Z164" s="37">
        <v>11.599962185770558</v>
      </c>
      <c r="AA164" s="37">
        <v>11.599962185770558</v>
      </c>
      <c r="AB164" s="37">
        <v>11.599962185770558</v>
      </c>
      <c r="AC164" s="37">
        <v>11.599962185770558</v>
      </c>
      <c r="AD164" s="37">
        <v>11.599962185770558</v>
      </c>
      <c r="AE164" s="37">
        <v>11.599962185770558</v>
      </c>
      <c r="AF164" s="37">
        <v>11.599962185770558</v>
      </c>
      <c r="AG164" s="37">
        <v>11.599962185770558</v>
      </c>
      <c r="AH164" s="37">
        <v>11.599962185770558</v>
      </c>
      <c r="AI164" s="37">
        <v>11.599962185770558</v>
      </c>
      <c r="AJ164" s="37">
        <v>11.599962185770558</v>
      </c>
      <c r="AK164" s="37">
        <v>11.599962185770558</v>
      </c>
      <c r="AL164" s="37">
        <v>11.599962185770558</v>
      </c>
      <c r="AM164" s="37">
        <v>11.599962185770558</v>
      </c>
      <c r="AN164" s="37">
        <v>11.599962185770558</v>
      </c>
      <c r="AO164" s="37">
        <v>11.599962185770558</v>
      </c>
      <c r="AP164" s="37">
        <v>11.599962185770558</v>
      </c>
      <c r="AQ164" s="37">
        <v>11.599962185770558</v>
      </c>
      <c r="AR164" s="37">
        <v>11.599962185770558</v>
      </c>
      <c r="AS164" s="37">
        <v>11.599962185770558</v>
      </c>
      <c r="AT164" s="37">
        <v>11.599962185770558</v>
      </c>
      <c r="AU164" s="37">
        <v>11.599962185770558</v>
      </c>
      <c r="AV164" s="37">
        <v>11.599962185770558</v>
      </c>
      <c r="AW164" s="37">
        <v>11.599962185770558</v>
      </c>
      <c r="AX164" s="37">
        <v>11.599962185770558</v>
      </c>
      <c r="AY164" s="37">
        <v>11.599962185770558</v>
      </c>
      <c r="AZ164" s="37">
        <v>11.599962185770558</v>
      </c>
    </row>
    <row r="165" spans="2:52" ht="17" customHeight="1" x14ac:dyDescent="0.45">
      <c r="B165" s="33" t="s">
        <v>132</v>
      </c>
      <c r="C165" s="29" t="s">
        <v>5</v>
      </c>
      <c r="D165" s="19" t="str">
        <f>IF('TECHNOLOGY REGISTER'!D13="","",'TECHNOLOGY REGISTER'!D13)</f>
        <v>Wind</v>
      </c>
      <c r="E165" s="36" t="s">
        <v>53</v>
      </c>
      <c r="F165" s="32" t="str">
        <f t="shared" si="0"/>
        <v>KES/kWh</v>
      </c>
      <c r="G165" s="36">
        <v>1.2966768243785085</v>
      </c>
      <c r="H165" s="36">
        <v>1.2966768243785085</v>
      </c>
      <c r="I165" s="36">
        <v>1.2966768243785085</v>
      </c>
      <c r="J165" s="36">
        <v>1.2966768243785085</v>
      </c>
      <c r="K165" s="36">
        <v>1.2966768243785085</v>
      </c>
      <c r="L165" s="36">
        <v>1.2966768243785085</v>
      </c>
      <c r="M165" s="36">
        <v>1.2966768243785085</v>
      </c>
      <c r="N165" s="36">
        <v>1.2966768243785085</v>
      </c>
      <c r="O165" s="36">
        <v>1.2966768243785085</v>
      </c>
      <c r="P165" s="36">
        <v>1.2966768243785085</v>
      </c>
      <c r="Q165" s="36">
        <v>1.2966768243785085</v>
      </c>
      <c r="R165" s="36">
        <v>1.2966768243785085</v>
      </c>
      <c r="S165" s="36">
        <v>1.2966768243785085</v>
      </c>
      <c r="T165" s="36">
        <v>1.2966768243785085</v>
      </c>
      <c r="U165" s="36">
        <v>1.2966768243785085</v>
      </c>
      <c r="V165" s="36">
        <v>1.2966768243785085</v>
      </c>
      <c r="W165" s="36">
        <v>1.2966768243785085</v>
      </c>
      <c r="X165" s="36">
        <v>1.2966768243785085</v>
      </c>
      <c r="Y165" s="36">
        <v>1.2966768243785085</v>
      </c>
      <c r="Z165" s="36">
        <v>1.2966768243785085</v>
      </c>
      <c r="AA165" s="36">
        <v>1.2966768243785085</v>
      </c>
      <c r="AB165" s="36">
        <v>1.2966768243785085</v>
      </c>
      <c r="AC165" s="36">
        <v>1.2966768243785085</v>
      </c>
      <c r="AD165" s="36">
        <v>1.2966768243785085</v>
      </c>
      <c r="AE165" s="36">
        <v>1.2966768243785085</v>
      </c>
      <c r="AF165" s="36">
        <v>1.2966768243785085</v>
      </c>
      <c r="AG165" s="36">
        <v>1.2966768243785085</v>
      </c>
      <c r="AH165" s="36">
        <v>1.2966768243785085</v>
      </c>
      <c r="AI165" s="36">
        <v>1.2966768243785085</v>
      </c>
      <c r="AJ165" s="36">
        <v>1.2966768243785085</v>
      </c>
      <c r="AK165" s="36">
        <v>1.2966768243785085</v>
      </c>
      <c r="AL165" s="36">
        <v>1.2966768243785085</v>
      </c>
      <c r="AM165" s="36">
        <v>1.2966768243785085</v>
      </c>
      <c r="AN165" s="36">
        <v>1.2966768243785085</v>
      </c>
      <c r="AO165" s="36">
        <v>1.2966768243785085</v>
      </c>
      <c r="AP165" s="36">
        <v>1.2966768243785085</v>
      </c>
      <c r="AQ165" s="36">
        <v>1.2966768243785085</v>
      </c>
      <c r="AR165" s="36">
        <v>1.2966768243785085</v>
      </c>
      <c r="AS165" s="36">
        <v>1.2966768243785085</v>
      </c>
      <c r="AT165" s="36">
        <v>1.2966768243785085</v>
      </c>
      <c r="AU165" s="36">
        <v>1.2966768243785085</v>
      </c>
      <c r="AV165" s="36">
        <v>1.2966768243785085</v>
      </c>
      <c r="AW165" s="36">
        <v>1.2966768243785085</v>
      </c>
      <c r="AX165" s="36">
        <v>1.2966768243785085</v>
      </c>
      <c r="AY165" s="36">
        <v>1.2966768243785085</v>
      </c>
      <c r="AZ165" s="36">
        <v>1.2966768243785085</v>
      </c>
    </row>
    <row r="166" spans="2:52" ht="17" customHeight="1" x14ac:dyDescent="0.45">
      <c r="B166" s="8" t="s">
        <v>132</v>
      </c>
      <c r="C166" s="30" t="s">
        <v>5</v>
      </c>
      <c r="D166" s="17" t="str">
        <f>IF('TECHNOLOGY REGISTER'!D14="","",'TECHNOLOGY REGISTER'!D14)</f>
        <v>Coal</v>
      </c>
      <c r="E166" s="37" t="s">
        <v>53</v>
      </c>
      <c r="F166" s="24" t="str">
        <f t="shared" si="0"/>
        <v>KES/kWh</v>
      </c>
      <c r="G166" s="37">
        <v>8.3588400000000007</v>
      </c>
      <c r="H166" s="37">
        <v>8.5745520000000024</v>
      </c>
      <c r="I166" s="37">
        <v>8.7902640000000023</v>
      </c>
      <c r="J166" s="37">
        <v>9.0059760000000022</v>
      </c>
      <c r="K166" s="37">
        <v>9.2216880000000039</v>
      </c>
      <c r="L166" s="37">
        <v>9.4374000000000002</v>
      </c>
      <c r="M166" s="37">
        <v>9.4374000000000002</v>
      </c>
      <c r="N166" s="37">
        <v>9.4374000000000002</v>
      </c>
      <c r="O166" s="37">
        <v>9.4374000000000002</v>
      </c>
      <c r="P166" s="37">
        <v>9.4374000000000002</v>
      </c>
      <c r="Q166" s="37">
        <v>9.4374000000000002</v>
      </c>
      <c r="R166" s="37">
        <v>9.4374000000000002</v>
      </c>
      <c r="S166" s="37">
        <v>9.4374000000000002</v>
      </c>
      <c r="T166" s="37">
        <v>9.4374000000000002</v>
      </c>
      <c r="U166" s="37">
        <v>9.4374000000000002</v>
      </c>
      <c r="V166" s="37">
        <v>9.4374000000000002</v>
      </c>
      <c r="W166" s="37">
        <v>9.4374000000000002</v>
      </c>
      <c r="X166" s="37">
        <v>9.4374000000000002</v>
      </c>
      <c r="Y166" s="37">
        <v>9.4374000000000002</v>
      </c>
      <c r="Z166" s="37">
        <v>9.4374000000000002</v>
      </c>
      <c r="AA166" s="37">
        <v>9.4374000000000002</v>
      </c>
      <c r="AB166" s="37">
        <v>9.4374000000000002</v>
      </c>
      <c r="AC166" s="37">
        <v>9.4374000000000002</v>
      </c>
      <c r="AD166" s="37">
        <v>9.4374000000000002</v>
      </c>
      <c r="AE166" s="37">
        <v>9.4374000000000002</v>
      </c>
      <c r="AF166" s="37">
        <v>9.4374000000000002</v>
      </c>
      <c r="AG166" s="37">
        <v>9.4374000000000002</v>
      </c>
      <c r="AH166" s="37">
        <v>9.4374000000000002</v>
      </c>
      <c r="AI166" s="37">
        <v>9.4374000000000002</v>
      </c>
      <c r="AJ166" s="37">
        <v>9.4374000000000002</v>
      </c>
      <c r="AK166" s="37">
        <v>9.4374000000000002</v>
      </c>
      <c r="AL166" s="37">
        <v>9.4374000000000002</v>
      </c>
      <c r="AM166" s="37">
        <v>9.4374000000000002</v>
      </c>
      <c r="AN166" s="37">
        <v>9.4374000000000002</v>
      </c>
      <c r="AO166" s="37">
        <v>9.4374000000000002</v>
      </c>
      <c r="AP166" s="37">
        <v>9.4374000000000002</v>
      </c>
      <c r="AQ166" s="37">
        <v>9.4374000000000002</v>
      </c>
      <c r="AR166" s="37">
        <v>9.4374000000000002</v>
      </c>
      <c r="AS166" s="37">
        <v>9.4374000000000002</v>
      </c>
      <c r="AT166" s="37">
        <v>9.4374000000000002</v>
      </c>
      <c r="AU166" s="37">
        <v>9.4374000000000002</v>
      </c>
      <c r="AV166" s="37">
        <v>9.4374000000000002</v>
      </c>
      <c r="AW166" s="37">
        <v>9.4374000000000002</v>
      </c>
      <c r="AX166" s="37">
        <v>9.4374000000000002</v>
      </c>
      <c r="AY166" s="37">
        <v>9.4374000000000002</v>
      </c>
      <c r="AZ166" s="37">
        <v>9.4374000000000002</v>
      </c>
    </row>
    <row r="167" spans="2:52" ht="17" customHeight="1" x14ac:dyDescent="0.45">
      <c r="B167" s="33" t="s">
        <v>132</v>
      </c>
      <c r="C167" s="29" t="s">
        <v>5</v>
      </c>
      <c r="D167" s="19" t="str">
        <f>IF('TECHNOLOGY REGISTER'!D15="","",'TECHNOLOGY REGISTER'!D15)</f>
        <v>Oil</v>
      </c>
      <c r="E167" s="36" t="s">
        <v>53</v>
      </c>
      <c r="F167" s="32" t="str">
        <f t="shared" si="0"/>
        <v>KES/kWh</v>
      </c>
      <c r="G167" s="36">
        <v>0.35599233239063599</v>
      </c>
      <c r="H167" s="36">
        <v>0.35599233239063599</v>
      </c>
      <c r="I167" s="36">
        <v>0.35599233239063599</v>
      </c>
      <c r="J167" s="36">
        <v>0.35599233239063599</v>
      </c>
      <c r="K167" s="36">
        <v>0.35599233239063599</v>
      </c>
      <c r="L167" s="36">
        <v>0.35599233239063599</v>
      </c>
      <c r="M167" s="36">
        <v>0.35599233239063599</v>
      </c>
      <c r="N167" s="36">
        <v>0.35599233239063599</v>
      </c>
      <c r="O167" s="36">
        <v>0.35599233239063599</v>
      </c>
      <c r="P167" s="36">
        <v>0.35599233239063599</v>
      </c>
      <c r="Q167" s="36">
        <v>0.35599233239063599</v>
      </c>
      <c r="R167" s="36">
        <v>0.35599233239063599</v>
      </c>
      <c r="S167" s="36">
        <v>0.35599233239063599</v>
      </c>
      <c r="T167" s="36">
        <v>0.35599233239063599</v>
      </c>
      <c r="U167" s="36">
        <v>0.35599233239063599</v>
      </c>
      <c r="V167" s="36">
        <v>0.35599233239063599</v>
      </c>
      <c r="W167" s="36">
        <v>0.35599233239063599</v>
      </c>
      <c r="X167" s="36">
        <v>0.35599233239063599</v>
      </c>
      <c r="Y167" s="36">
        <v>0.35599233239063599</v>
      </c>
      <c r="Z167" s="36">
        <v>0.35599233239063599</v>
      </c>
      <c r="AA167" s="36">
        <v>0.35599233239063599</v>
      </c>
      <c r="AB167" s="36">
        <v>0.35599233239063599</v>
      </c>
      <c r="AC167" s="36">
        <v>0.35599233239063599</v>
      </c>
      <c r="AD167" s="36">
        <v>0.35599233239063599</v>
      </c>
      <c r="AE167" s="36">
        <v>0.35599233239063599</v>
      </c>
      <c r="AF167" s="36">
        <v>0.35599233239063599</v>
      </c>
      <c r="AG167" s="36">
        <v>0.35599233239063599</v>
      </c>
      <c r="AH167" s="36">
        <v>0.35599233239063599</v>
      </c>
      <c r="AI167" s="36">
        <v>0.35599233239063599</v>
      </c>
      <c r="AJ167" s="36">
        <v>0.35599233239063599</v>
      </c>
      <c r="AK167" s="36">
        <v>0.35599233239063599</v>
      </c>
      <c r="AL167" s="36">
        <v>0.35599233239063599</v>
      </c>
      <c r="AM167" s="36">
        <v>0.35599233239063599</v>
      </c>
      <c r="AN167" s="36">
        <v>0.35599233239063599</v>
      </c>
      <c r="AO167" s="36">
        <v>0.35599233239063599</v>
      </c>
      <c r="AP167" s="36">
        <v>0.35599233239063599</v>
      </c>
      <c r="AQ167" s="36">
        <v>0.35599233239063599</v>
      </c>
      <c r="AR167" s="36">
        <v>0.35599233239063599</v>
      </c>
      <c r="AS167" s="36">
        <v>0.35599233239063599</v>
      </c>
      <c r="AT167" s="36">
        <v>0.35599233239063599</v>
      </c>
      <c r="AU167" s="36">
        <v>0.35599233239063599</v>
      </c>
      <c r="AV167" s="36">
        <v>0.35599233239063599</v>
      </c>
      <c r="AW167" s="36">
        <v>0.35599233239063599</v>
      </c>
      <c r="AX167" s="36">
        <v>0.35599233239063599</v>
      </c>
      <c r="AY167" s="36">
        <v>0.35599233239063599</v>
      </c>
      <c r="AZ167" s="36">
        <v>0.35599233239063599</v>
      </c>
    </row>
    <row r="168" spans="2:52" ht="17" customHeight="1" x14ac:dyDescent="0.45">
      <c r="B168" s="8" t="s">
        <v>132</v>
      </c>
      <c r="C168" s="30" t="s">
        <v>5</v>
      </c>
      <c r="D168" s="17" t="str">
        <f>IF('TECHNOLOGY REGISTER'!D16="","",'TECHNOLOGY REGISTER'!D16)</f>
        <v>Gas</v>
      </c>
      <c r="E168" s="37" t="s">
        <v>53</v>
      </c>
      <c r="F168" s="24" t="str">
        <f t="shared" si="0"/>
        <v>KES/kWh</v>
      </c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</row>
    <row r="169" spans="2:52" ht="17" customHeight="1" x14ac:dyDescent="0.45">
      <c r="B169" s="33" t="s">
        <v>132</v>
      </c>
      <c r="C169" s="29" t="s">
        <v>5</v>
      </c>
      <c r="D169" s="19" t="str">
        <f>IF('TECHNOLOGY REGISTER'!D17="","",'TECHNOLOGY REGISTER'!D17)</f>
        <v>Transmission</v>
      </c>
      <c r="E169" s="36" t="s">
        <v>53</v>
      </c>
      <c r="F169" s="32" t="str">
        <f t="shared" si="0"/>
        <v>KES/kWh</v>
      </c>
      <c r="G169" s="36">
        <v>9.6198833116036511</v>
      </c>
      <c r="H169" s="36">
        <v>9.6198833116036511</v>
      </c>
      <c r="I169" s="36">
        <v>9.6198833116036511</v>
      </c>
      <c r="J169" s="36">
        <v>9.6198833116036511</v>
      </c>
      <c r="K169" s="36">
        <v>9.6198833116036511</v>
      </c>
      <c r="L169" s="36">
        <v>9.6198833116036511</v>
      </c>
      <c r="M169" s="36">
        <v>9.6198833116036511</v>
      </c>
      <c r="N169" s="36">
        <v>9.6198833116036511</v>
      </c>
      <c r="O169" s="36">
        <v>9.6198833116036511</v>
      </c>
      <c r="P169" s="36">
        <v>9.6198833116036511</v>
      </c>
      <c r="Q169" s="36">
        <v>9.6198833116036511</v>
      </c>
      <c r="R169" s="36">
        <v>9.6198833116036511</v>
      </c>
      <c r="S169" s="36">
        <v>9.6198833116036511</v>
      </c>
      <c r="T169" s="36">
        <v>9.6198833116036511</v>
      </c>
      <c r="U169" s="36">
        <v>9.6198833116036511</v>
      </c>
      <c r="V169" s="36">
        <v>9.6198833116036511</v>
      </c>
      <c r="W169" s="36">
        <v>9.6198833116036511</v>
      </c>
      <c r="X169" s="36">
        <v>9.6198833116036511</v>
      </c>
      <c r="Y169" s="36">
        <v>9.6198833116036511</v>
      </c>
      <c r="Z169" s="36">
        <v>9.6198833116036511</v>
      </c>
      <c r="AA169" s="36">
        <v>9.6198833116036511</v>
      </c>
      <c r="AB169" s="36">
        <v>9.6198833116036511</v>
      </c>
      <c r="AC169" s="36">
        <v>9.6198833116036511</v>
      </c>
      <c r="AD169" s="36">
        <v>9.6198833116036511</v>
      </c>
      <c r="AE169" s="36">
        <v>9.6198833116036511</v>
      </c>
      <c r="AF169" s="36">
        <v>9.6198833116036511</v>
      </c>
      <c r="AG169" s="36">
        <v>9.6198833116036511</v>
      </c>
      <c r="AH169" s="36">
        <v>9.6198833116036511</v>
      </c>
      <c r="AI169" s="36">
        <v>9.6198833116036511</v>
      </c>
      <c r="AJ169" s="36">
        <v>9.6198833116036511</v>
      </c>
      <c r="AK169" s="36">
        <v>9.6198833116036511</v>
      </c>
      <c r="AL169" s="36">
        <v>9.6198833116036511</v>
      </c>
      <c r="AM169" s="36">
        <v>9.6198833116036511</v>
      </c>
      <c r="AN169" s="36">
        <v>9.6198833116036511</v>
      </c>
      <c r="AO169" s="36">
        <v>9.6198833116036511</v>
      </c>
      <c r="AP169" s="36">
        <v>9.6198833116036511</v>
      </c>
      <c r="AQ169" s="36">
        <v>9.6198833116036511</v>
      </c>
      <c r="AR169" s="36">
        <v>9.6198833116036511</v>
      </c>
      <c r="AS169" s="36">
        <v>9.6198833116036511</v>
      </c>
      <c r="AT169" s="36">
        <v>9.6198833116036511</v>
      </c>
      <c r="AU169" s="36">
        <v>9.6198833116036511</v>
      </c>
      <c r="AV169" s="36">
        <v>9.6198833116036511</v>
      </c>
      <c r="AW169" s="36">
        <v>9.6198833116036511</v>
      </c>
      <c r="AX169" s="36">
        <v>9.6198833116036511</v>
      </c>
      <c r="AY169" s="36">
        <v>9.6198833116036511</v>
      </c>
      <c r="AZ169" s="36">
        <v>9.6198833116036511</v>
      </c>
    </row>
    <row r="170" spans="2:52" ht="17" customHeight="1" x14ac:dyDescent="0.45">
      <c r="B170" s="8" t="s">
        <v>132</v>
      </c>
      <c r="C170" s="30" t="s">
        <v>5</v>
      </c>
      <c r="D170" s="17" t="str">
        <f>IF('TECHNOLOGY REGISTER'!D18="","",'TECHNOLOGY REGISTER'!D18)</f>
        <v>Distribution</v>
      </c>
      <c r="E170" s="37" t="s">
        <v>53</v>
      </c>
      <c r="F170" s="24" t="str">
        <f t="shared" si="0"/>
        <v>KES/kWh</v>
      </c>
      <c r="G170" s="37">
        <v>10.32493188315096</v>
      </c>
      <c r="H170" s="37">
        <v>10.555517549096997</v>
      </c>
      <c r="I170" s="37">
        <v>9.6887161959621473</v>
      </c>
      <c r="J170" s="37">
        <v>9.3613839897007907</v>
      </c>
      <c r="K170" s="37">
        <v>8.4089122590185799</v>
      </c>
      <c r="L170" s="37">
        <v>8.9536894893511736</v>
      </c>
      <c r="M170" s="37">
        <v>8.0883761235029628</v>
      </c>
      <c r="N170" s="37">
        <v>8.5721893970660847</v>
      </c>
      <c r="O170" s="37">
        <v>7.6898497002806092</v>
      </c>
      <c r="P170" s="37">
        <v>7.7419764124416384</v>
      </c>
      <c r="Q170" s="37">
        <v>7.6852406766848409</v>
      </c>
      <c r="R170" s="37">
        <v>7.5577904922510335</v>
      </c>
      <c r="S170" s="37">
        <v>7.5106920037881082</v>
      </c>
      <c r="T170" s="37">
        <v>7.4142166471850448</v>
      </c>
      <c r="U170" s="37">
        <v>7.4560955774425723</v>
      </c>
      <c r="V170" s="37">
        <v>7.1657280082429207</v>
      </c>
      <c r="W170" s="37">
        <v>7.0834051167995691</v>
      </c>
      <c r="X170" s="37">
        <v>6.913440829970753</v>
      </c>
      <c r="Y170" s="37">
        <v>6.8336989232286642</v>
      </c>
      <c r="Z170" s="37">
        <v>6.7774265466472423</v>
      </c>
      <c r="AA170" s="37">
        <v>6.697350491485123</v>
      </c>
      <c r="AB170" s="37">
        <v>6.6584524762593302</v>
      </c>
      <c r="AC170" s="37">
        <v>6.5648334814711724</v>
      </c>
      <c r="AD170" s="37">
        <v>6.5026411094040961</v>
      </c>
      <c r="AE170" s="37">
        <v>6.4793623142174015</v>
      </c>
      <c r="AF170" s="37">
        <v>6.3315732622673702</v>
      </c>
      <c r="AG170" s="37">
        <v>6.3028682901846054</v>
      </c>
      <c r="AH170" s="37">
        <v>6.3086752204322556</v>
      </c>
      <c r="AI170" s="37">
        <v>6.3414365240039823</v>
      </c>
      <c r="AJ170" s="37">
        <v>6.3126430505162325</v>
      </c>
      <c r="AK170" s="37">
        <v>6.2995688937693215</v>
      </c>
      <c r="AL170" s="37">
        <v>6.2862979932994145</v>
      </c>
      <c r="AM170" s="37">
        <v>6.2535266283688289</v>
      </c>
      <c r="AN170" s="37">
        <v>6.2244239114697919</v>
      </c>
      <c r="AO170" s="37">
        <v>6.198836220977272</v>
      </c>
      <c r="AP170" s="37">
        <v>6.1767154088763192</v>
      </c>
      <c r="AQ170" s="37">
        <v>6.1616716327377699</v>
      </c>
      <c r="AR170" s="37">
        <v>6.1402084905310534</v>
      </c>
      <c r="AS170" s="37">
        <v>6.119538346729823</v>
      </c>
      <c r="AT170" s="37">
        <v>6.1000203170756686</v>
      </c>
      <c r="AU170" s="37">
        <v>6.0812198586066826</v>
      </c>
      <c r="AV170" s="37">
        <v>6.0633116315168811</v>
      </c>
      <c r="AW170" s="37">
        <v>6.0462428589243826</v>
      </c>
      <c r="AX170" s="37">
        <v>6.0299329293562227</v>
      </c>
      <c r="AY170" s="37">
        <v>6.014351072167841</v>
      </c>
      <c r="AZ170" s="37">
        <v>6.00111685381819</v>
      </c>
    </row>
    <row r="171" spans="2:52" ht="17" customHeight="1" x14ac:dyDescent="0.45">
      <c r="B171" s="33" t="s">
        <v>132</v>
      </c>
      <c r="C171" s="29" t="s">
        <v>5</v>
      </c>
      <c r="D171" s="19" t="str">
        <f>IF('TECHNOLOGY REGISTER'!D19="","",'TECHNOLOGY REGISTER'!D19)</f>
        <v>Imports</v>
      </c>
      <c r="E171" s="36"/>
      <c r="F171" s="32" t="str">
        <f t="shared" si="0"/>
        <v/>
      </c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</row>
    <row r="172" spans="2:52" ht="17" customHeight="1" x14ac:dyDescent="0.45">
      <c r="B172" s="8" t="s">
        <v>132</v>
      </c>
      <c r="C172" s="30" t="s">
        <v>5</v>
      </c>
      <c r="D172" s="17" t="str">
        <f>IF('TECHNOLOGY REGISTER'!D20="","",'TECHNOLOGY REGISTER'!D20)</f>
        <v>Energy Exports</v>
      </c>
      <c r="E172" s="37"/>
      <c r="F172" s="24" t="str">
        <f t="shared" si="0"/>
        <v/>
      </c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</row>
    <row r="173" spans="2:52" ht="17" customHeight="1" x14ac:dyDescent="0.45">
      <c r="B173" s="33" t="s">
        <v>132</v>
      </c>
      <c r="C173" s="29" t="s">
        <v>5</v>
      </c>
      <c r="D173" s="19" t="str">
        <f>IF('TECHNOLOGY REGISTER'!D21="","",'TECHNOLOGY REGISTER'!D21)</f>
        <v>Direct Solar</v>
      </c>
      <c r="E173" s="36"/>
      <c r="F173" s="32" t="str">
        <f t="shared" si="0"/>
        <v/>
      </c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</row>
    <row r="174" spans="2:52" ht="15" customHeight="1" x14ac:dyDescent="0.45">
      <c r="B174" s="8" t="s">
        <v>132</v>
      </c>
      <c r="C174" s="30" t="s">
        <v>5</v>
      </c>
      <c r="D174" s="17" t="str">
        <f>IF('TECHNOLOGY REGISTER'!D22="","",'TECHNOLOGY REGISTER'!D22)</f>
        <v>Direct Oil</v>
      </c>
      <c r="E174" s="16"/>
      <c r="F174" s="24" t="str">
        <f t="shared" si="0"/>
        <v/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</row>
    <row r="175" spans="2:52" ht="15" customHeight="1" x14ac:dyDescent="0.45">
      <c r="B175" s="33" t="s">
        <v>132</v>
      </c>
      <c r="C175" s="29" t="s">
        <v>5</v>
      </c>
      <c r="D175" s="19" t="str">
        <f>IF('TECHNOLOGY REGISTER'!D23="","",'TECHNOLOGY REGISTER'!D23)</f>
        <v>Direct Hydro</v>
      </c>
      <c r="E175" s="18"/>
      <c r="F175" s="32" t="str">
        <f t="shared" si="0"/>
        <v/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</row>
    <row r="176" spans="2:52" ht="15" customHeight="1" x14ac:dyDescent="0.45">
      <c r="B176" s="8" t="s">
        <v>132</v>
      </c>
      <c r="C176" s="30" t="s">
        <v>5</v>
      </c>
      <c r="D176" s="17" t="str">
        <f>IF('TECHNOLOGY REGISTER'!D24="","",'TECHNOLOGY REGISTER'!D24)</f>
        <v/>
      </c>
      <c r="E176" s="16"/>
      <c r="F176" s="24" t="str">
        <f t="shared" si="0"/>
        <v/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</row>
    <row r="177" spans="2:52" ht="15" customHeight="1" x14ac:dyDescent="0.45">
      <c r="B177" s="33" t="s">
        <v>132</v>
      </c>
      <c r="C177" s="29" t="s">
        <v>5</v>
      </c>
      <c r="D177" s="19" t="str">
        <f>IF('TECHNOLOGY REGISTER'!D25="","",'TECHNOLOGY REGISTER'!D25)</f>
        <v/>
      </c>
      <c r="E177" s="18"/>
      <c r="F177" s="32" t="str">
        <f t="shared" si="0"/>
        <v/>
      </c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2:52" ht="15" customHeight="1" x14ac:dyDescent="0.45">
      <c r="B178" s="8" t="s">
        <v>132</v>
      </c>
      <c r="C178" s="30" t="s">
        <v>5</v>
      </c>
      <c r="D178" s="17" t="str">
        <f>IF('TECHNOLOGY REGISTER'!D26="","",'TECHNOLOGY REGISTER'!D26)</f>
        <v/>
      </c>
      <c r="E178" s="16"/>
      <c r="F178" s="24" t="str">
        <f t="shared" si="0"/>
        <v/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</row>
    <row r="179" spans="2:52" ht="15" customHeight="1" x14ac:dyDescent="0.45">
      <c r="B179" s="33" t="s">
        <v>132</v>
      </c>
      <c r="C179" s="29" t="s">
        <v>5</v>
      </c>
      <c r="D179" s="19" t="str">
        <f>IF('TECHNOLOGY REGISTER'!D27="","",'TECHNOLOGY REGISTER'!D27)</f>
        <v/>
      </c>
      <c r="E179" s="18"/>
      <c r="F179" s="32" t="str">
        <f t="shared" si="0"/>
        <v/>
      </c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</row>
    <row r="180" spans="2:52" ht="15" customHeight="1" x14ac:dyDescent="0.45">
      <c r="B180" s="8" t="s">
        <v>132</v>
      </c>
      <c r="C180" s="30" t="s">
        <v>5</v>
      </c>
      <c r="D180" s="17" t="str">
        <f>IF('TECHNOLOGY REGISTER'!D28="","",'TECHNOLOGY REGISTER'!D28)</f>
        <v/>
      </c>
      <c r="E180" s="16"/>
      <c r="F180" s="24" t="str">
        <f t="shared" si="0"/>
        <v/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</row>
    <row r="181" spans="2:52" ht="15" customHeight="1" x14ac:dyDescent="0.45">
      <c r="B181" s="33" t="s">
        <v>132</v>
      </c>
      <c r="C181" s="29" t="s">
        <v>5</v>
      </c>
      <c r="D181" s="19" t="str">
        <f>IF('TECHNOLOGY REGISTER'!D29="","",'TECHNOLOGY REGISTER'!D29)</f>
        <v/>
      </c>
      <c r="E181" s="18"/>
      <c r="F181" s="32" t="str">
        <f t="shared" si="0"/>
        <v/>
      </c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</row>
    <row r="182" spans="2:52" ht="15" customHeight="1" x14ac:dyDescent="0.45">
      <c r="B182" s="8" t="s">
        <v>132</v>
      </c>
      <c r="C182" s="30" t="s">
        <v>5</v>
      </c>
      <c r="D182" s="17" t="str">
        <f>IF('TECHNOLOGY REGISTER'!D30="","",'TECHNOLOGY REGISTER'!D30)</f>
        <v/>
      </c>
      <c r="E182" s="16"/>
      <c r="F182" s="24" t="str">
        <f t="shared" si="0"/>
        <v/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</row>
    <row r="183" spans="2:52" ht="15" customHeight="1" x14ac:dyDescent="0.45">
      <c r="B183" s="33" t="s">
        <v>132</v>
      </c>
      <c r="C183" s="29" t="s">
        <v>5</v>
      </c>
      <c r="D183" s="19" t="str">
        <f>IF('TECHNOLOGY REGISTER'!D31="","",'TECHNOLOGY REGISTER'!D31)</f>
        <v/>
      </c>
      <c r="E183" s="18"/>
      <c r="F183" s="32" t="str">
        <f t="shared" si="0"/>
        <v/>
      </c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</row>
    <row r="184" spans="2:52" ht="15" customHeight="1" x14ac:dyDescent="0.45">
      <c r="B184" s="8" t="s">
        <v>132</v>
      </c>
      <c r="C184" s="30" t="s">
        <v>5</v>
      </c>
      <c r="D184" s="17" t="str">
        <f>IF('TECHNOLOGY REGISTER'!D32="","",'TECHNOLOGY REGISTER'!D32)</f>
        <v/>
      </c>
      <c r="E184" s="16"/>
      <c r="F184" s="24" t="str">
        <f t="shared" si="0"/>
        <v/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</row>
    <row r="185" spans="2:52" ht="15" customHeight="1" x14ac:dyDescent="0.45">
      <c r="B185" s="33" t="s">
        <v>132</v>
      </c>
      <c r="C185" s="29" t="s">
        <v>5</v>
      </c>
      <c r="D185" s="19" t="str">
        <f>IF('TECHNOLOGY REGISTER'!D33="","",'TECHNOLOGY REGISTER'!D33)</f>
        <v/>
      </c>
      <c r="E185" s="18"/>
      <c r="F185" s="32" t="str">
        <f t="shared" si="0"/>
        <v/>
      </c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</row>
    <row r="186" spans="2:52" ht="15" customHeight="1" x14ac:dyDescent="0.45">
      <c r="B186" s="8" t="s">
        <v>132</v>
      </c>
      <c r="C186" s="30" t="s">
        <v>5</v>
      </c>
      <c r="D186" s="17" t="str">
        <f>IF('TECHNOLOGY REGISTER'!D34="","",'TECHNOLOGY REGISTER'!D34)</f>
        <v/>
      </c>
      <c r="E186" s="16"/>
      <c r="F186" s="24" t="str">
        <f t="shared" si="0"/>
        <v/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</row>
    <row r="187" spans="2:52" ht="15" customHeight="1" x14ac:dyDescent="0.45">
      <c r="B187" s="33" t="s">
        <v>132</v>
      </c>
      <c r="C187" s="29" t="s">
        <v>5</v>
      </c>
      <c r="D187" s="19" t="str">
        <f>IF('TECHNOLOGY REGISTER'!D35="","",'TECHNOLOGY REGISTER'!D35)</f>
        <v/>
      </c>
      <c r="E187" s="18"/>
      <c r="F187" s="32" t="str">
        <f t="shared" si="0"/>
        <v/>
      </c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</row>
    <row r="188" spans="2:52" ht="15" customHeight="1" x14ac:dyDescent="0.45">
      <c r="B188" s="8" t="s">
        <v>132</v>
      </c>
      <c r="C188" s="30" t="s">
        <v>5</v>
      </c>
      <c r="D188" s="17" t="str">
        <f>IF('TECHNOLOGY REGISTER'!D36="","",'TECHNOLOGY REGISTER'!D36)</f>
        <v/>
      </c>
      <c r="E188" s="16"/>
      <c r="F188" s="24" t="str">
        <f t="shared" si="0"/>
        <v/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</row>
    <row r="189" spans="2:52" ht="15" customHeight="1" x14ac:dyDescent="0.45">
      <c r="B189" s="33" t="s">
        <v>132</v>
      </c>
      <c r="C189" s="29" t="s">
        <v>5</v>
      </c>
      <c r="D189" s="19" t="str">
        <f>IF('TECHNOLOGY REGISTER'!D37="","",'TECHNOLOGY REGISTER'!D37)</f>
        <v/>
      </c>
      <c r="E189" s="18"/>
      <c r="F189" s="32" t="str">
        <f t="shared" si="0"/>
        <v/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</row>
    <row r="190" spans="2:52" ht="15" customHeight="1" x14ac:dyDescent="0.45">
      <c r="B190" s="8" t="s">
        <v>132</v>
      </c>
      <c r="C190" s="30" t="s">
        <v>5</v>
      </c>
      <c r="D190" s="17" t="str">
        <f>IF('TECHNOLOGY REGISTER'!D38="","",'TECHNOLOGY REGISTER'!D38)</f>
        <v/>
      </c>
      <c r="E190" s="16"/>
      <c r="F190" s="24" t="str">
        <f t="shared" si="0"/>
        <v/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</row>
    <row r="191" spans="2:52" ht="15" customHeight="1" x14ac:dyDescent="0.45">
      <c r="B191" s="33" t="s">
        <v>132</v>
      </c>
      <c r="C191" s="29" t="s">
        <v>5</v>
      </c>
      <c r="D191" s="19" t="str">
        <f>IF('TECHNOLOGY REGISTER'!D39="","",'TECHNOLOGY REGISTER'!D39)</f>
        <v/>
      </c>
      <c r="E191" s="18"/>
      <c r="F191" s="32" t="str">
        <f t="shared" si="0"/>
        <v/>
      </c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</row>
    <row r="192" spans="2:52" ht="15" customHeight="1" x14ac:dyDescent="0.45">
      <c r="B192" s="8" t="s">
        <v>132</v>
      </c>
      <c r="C192" s="30" t="s">
        <v>5</v>
      </c>
      <c r="D192" s="17" t="str">
        <f>IF('TECHNOLOGY REGISTER'!D40="","",'TECHNOLOGY REGISTER'!D40)</f>
        <v/>
      </c>
      <c r="E192" s="16"/>
      <c r="F192" s="24" t="str">
        <f t="shared" si="0"/>
        <v/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</row>
    <row r="193" spans="2:52" ht="15" customHeight="1" x14ac:dyDescent="0.45">
      <c r="B193" s="33" t="s">
        <v>132</v>
      </c>
      <c r="C193" s="29" t="s">
        <v>5</v>
      </c>
      <c r="D193" s="19" t="str">
        <f>IF('TECHNOLOGY REGISTER'!D41="","",'TECHNOLOGY REGISTER'!D41)</f>
        <v/>
      </c>
      <c r="E193" s="18"/>
      <c r="F193" s="32" t="str">
        <f t="shared" si="0"/>
        <v/>
      </c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2:52" ht="15" customHeight="1" x14ac:dyDescent="0.45">
      <c r="B194" s="8" t="s">
        <v>132</v>
      </c>
      <c r="C194" s="30" t="s">
        <v>5</v>
      </c>
      <c r="D194" s="17" t="str">
        <f>IF('TECHNOLOGY REGISTER'!D42="","",'TECHNOLOGY REGISTER'!D42)</f>
        <v/>
      </c>
      <c r="E194" s="16"/>
      <c r="F194" s="24" t="str">
        <f t="shared" si="0"/>
        <v/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</row>
    <row r="195" spans="2:52" ht="15" customHeight="1" x14ac:dyDescent="0.45">
      <c r="B195" s="33" t="s">
        <v>132</v>
      </c>
      <c r="C195" s="29" t="s">
        <v>5</v>
      </c>
      <c r="D195" s="19" t="str">
        <f>IF('TECHNOLOGY REGISTER'!D43="","",'TECHNOLOGY REGISTER'!D43)</f>
        <v/>
      </c>
      <c r="E195" s="18"/>
      <c r="F195" s="32" t="str">
        <f t="shared" si="0"/>
        <v/>
      </c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</row>
    <row r="196" spans="2:52" ht="15" customHeight="1" x14ac:dyDescent="0.45">
      <c r="B196" s="8" t="s">
        <v>132</v>
      </c>
      <c r="C196" s="30" t="s">
        <v>5</v>
      </c>
      <c r="D196" s="17" t="str">
        <f>IF('TECHNOLOGY REGISTER'!D44="","",'TECHNOLOGY REGISTER'!D44)</f>
        <v/>
      </c>
      <c r="E196" s="16"/>
      <c r="F196" s="24" t="str">
        <f t="shared" si="0"/>
        <v/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</row>
    <row r="197" spans="2:52" ht="15" customHeight="1" x14ac:dyDescent="0.45">
      <c r="B197" s="33" t="s">
        <v>132</v>
      </c>
      <c r="C197" s="29" t="s">
        <v>5</v>
      </c>
      <c r="D197" s="19" t="str">
        <f>IF('TECHNOLOGY REGISTER'!D45="","",'TECHNOLOGY REGISTER'!D45)</f>
        <v/>
      </c>
      <c r="E197" s="18"/>
      <c r="F197" s="32" t="str">
        <f t="shared" si="0"/>
        <v/>
      </c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</row>
    <row r="198" spans="2:52" ht="15" customHeight="1" x14ac:dyDescent="0.45">
      <c r="B198" s="8" t="s">
        <v>132</v>
      </c>
      <c r="C198" s="30" t="s">
        <v>5</v>
      </c>
      <c r="D198" s="17" t="str">
        <f>IF('TECHNOLOGY REGISTER'!D46="","",'TECHNOLOGY REGISTER'!D46)</f>
        <v/>
      </c>
      <c r="E198" s="16"/>
      <c r="F198" s="24" t="str">
        <f t="shared" si="0"/>
        <v/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</row>
    <row r="199" spans="2:52" ht="15" customHeight="1" x14ac:dyDescent="0.45">
      <c r="B199" s="33" t="s">
        <v>132</v>
      </c>
      <c r="C199" s="29" t="s">
        <v>5</v>
      </c>
      <c r="D199" s="19" t="str">
        <f>IF('TECHNOLOGY REGISTER'!D47="","",'TECHNOLOGY REGISTER'!D47)</f>
        <v/>
      </c>
      <c r="E199" s="18"/>
      <c r="F199" s="32" t="str">
        <f t="shared" si="0"/>
        <v/>
      </c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</row>
    <row r="200" spans="2:52" ht="15" customHeight="1" x14ac:dyDescent="0.45">
      <c r="B200" s="8" t="s">
        <v>132</v>
      </c>
      <c r="C200" s="30" t="s">
        <v>5</v>
      </c>
      <c r="D200" s="17" t="str">
        <f>IF('TECHNOLOGY REGISTER'!D48="","",'TECHNOLOGY REGISTER'!D48)</f>
        <v/>
      </c>
      <c r="E200" s="16"/>
      <c r="F200" s="24" t="str">
        <f t="shared" si="0"/>
        <v/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</row>
    <row r="201" spans="2:52" ht="15" customHeight="1" x14ac:dyDescent="0.45">
      <c r="B201" s="33" t="s">
        <v>132</v>
      </c>
      <c r="C201" s="29" t="s">
        <v>5</v>
      </c>
      <c r="D201" s="19" t="str">
        <f>IF('TECHNOLOGY REGISTER'!D49="","",'TECHNOLOGY REGISTER'!D49)</f>
        <v/>
      </c>
      <c r="E201" s="18"/>
      <c r="F201" s="32" t="str">
        <f t="shared" si="0"/>
        <v/>
      </c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</row>
    <row r="202" spans="2:52" ht="15" customHeight="1" x14ac:dyDescent="0.45">
      <c r="B202" s="8" t="s">
        <v>132</v>
      </c>
      <c r="C202" s="30" t="s">
        <v>5</v>
      </c>
      <c r="D202" s="17" t="str">
        <f>IF('TECHNOLOGY REGISTER'!D50="","",'TECHNOLOGY REGISTER'!D50)</f>
        <v/>
      </c>
      <c r="E202" s="16"/>
      <c r="F202" s="24" t="str">
        <f t="shared" si="0"/>
        <v/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</row>
    <row r="203" spans="2:52" ht="15" customHeight="1" x14ac:dyDescent="0.45">
      <c r="B203" s="33" t="s">
        <v>132</v>
      </c>
      <c r="C203" s="29" t="s">
        <v>5</v>
      </c>
      <c r="D203" s="19" t="str">
        <f>IF('TECHNOLOGY REGISTER'!D51="","",'TECHNOLOGY REGISTER'!D51)</f>
        <v/>
      </c>
      <c r="E203" s="18"/>
      <c r="F203" s="32" t="str">
        <f t="shared" si="0"/>
        <v/>
      </c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</row>
    <row r="204" spans="2:52" ht="15" customHeight="1" x14ac:dyDescent="0.45">
      <c r="B204" s="8" t="s">
        <v>132</v>
      </c>
      <c r="C204" s="30" t="s">
        <v>5</v>
      </c>
      <c r="D204" s="17" t="str">
        <f>IF('TECHNOLOGY REGISTER'!D52="","",'TECHNOLOGY REGISTER'!D52)</f>
        <v/>
      </c>
      <c r="E204" s="16"/>
      <c r="F204" s="24" t="str">
        <f t="shared" si="0"/>
        <v/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</row>
    <row r="205" spans="2:52" ht="15" customHeight="1" x14ac:dyDescent="0.45">
      <c r="B205" s="33" t="s">
        <v>132</v>
      </c>
      <c r="C205" s="29" t="s">
        <v>5</v>
      </c>
      <c r="D205" s="19" t="str">
        <f>IF('TECHNOLOGY REGISTER'!D53="","",'TECHNOLOGY REGISTER'!D53)</f>
        <v/>
      </c>
      <c r="E205" s="18"/>
      <c r="F205" s="32" t="str">
        <f t="shared" si="0"/>
        <v/>
      </c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</row>
    <row r="206" spans="2:52" ht="15" customHeight="1" x14ac:dyDescent="0.45">
      <c r="B206" s="8" t="s">
        <v>132</v>
      </c>
      <c r="C206" s="30" t="s">
        <v>5</v>
      </c>
      <c r="D206" s="17" t="str">
        <f>IF('TECHNOLOGY REGISTER'!D54="","",'TECHNOLOGY REGISTER'!D54)</f>
        <v/>
      </c>
      <c r="E206" s="16"/>
      <c r="F206" s="24" t="str">
        <f t="shared" si="0"/>
        <v/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</row>
    <row r="207" spans="2:52" ht="15" customHeight="1" x14ac:dyDescent="0.45">
      <c r="B207" s="33" t="s">
        <v>132</v>
      </c>
      <c r="C207" s="29" t="s">
        <v>5</v>
      </c>
      <c r="D207" s="19" t="str">
        <f>IF('TECHNOLOGY REGISTER'!D55="","",'TECHNOLOGY REGISTER'!D55)</f>
        <v/>
      </c>
      <c r="E207" s="18"/>
      <c r="F207" s="32" t="str">
        <f t="shared" si="0"/>
        <v/>
      </c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</row>
    <row r="208" spans="2:52" ht="15" customHeight="1" thickBot="1" x14ac:dyDescent="0.5">
      <c r="B208" s="8" t="s">
        <v>132</v>
      </c>
      <c r="C208" s="30" t="s">
        <v>5</v>
      </c>
      <c r="D208" s="17" t="str">
        <f>IF('TECHNOLOGY REGISTER'!D56="","",'TECHNOLOGY REGISTER'!D56)</f>
        <v/>
      </c>
      <c r="E208" s="16"/>
      <c r="F208" s="24" t="str">
        <f t="shared" si="0"/>
        <v/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</row>
    <row r="209" spans="2:52" customFormat="1" ht="20" customHeight="1" x14ac:dyDescent="0.5">
      <c r="B209" s="69" t="s">
        <v>133</v>
      </c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</row>
    <row r="210" spans="2:52" ht="17" customHeight="1" x14ac:dyDescent="0.45">
      <c r="B210" s="33" t="s">
        <v>134</v>
      </c>
      <c r="C210" s="29" t="s">
        <v>5</v>
      </c>
      <c r="D210" s="19" t="str">
        <f>IF('TECHNOLOGY REGISTER'!D7="","",'TECHNOLOGY REGISTER'!D7)</f>
        <v>Biomass</v>
      </c>
      <c r="E210" s="36" t="s">
        <v>53</v>
      </c>
      <c r="F210" s="32" t="str">
        <f>IF(E210="","",E210&amp;"/kWh")</f>
        <v>KES/kWh</v>
      </c>
      <c r="G210" s="36">
        <v>0</v>
      </c>
      <c r="H210" s="36">
        <v>0</v>
      </c>
      <c r="I210" s="36">
        <v>0</v>
      </c>
      <c r="J210" s="36">
        <v>0</v>
      </c>
      <c r="K210" s="36">
        <v>0</v>
      </c>
      <c r="L210" s="36">
        <v>0</v>
      </c>
      <c r="M210" s="36">
        <v>0</v>
      </c>
      <c r="N210" s="36">
        <v>0</v>
      </c>
      <c r="O210" s="36">
        <v>0</v>
      </c>
      <c r="P210" s="36">
        <v>0</v>
      </c>
      <c r="Q210" s="36">
        <v>0</v>
      </c>
      <c r="R210" s="36">
        <v>0</v>
      </c>
      <c r="S210" s="36">
        <v>0</v>
      </c>
      <c r="T210" s="36">
        <v>0</v>
      </c>
      <c r="U210" s="36">
        <v>0</v>
      </c>
      <c r="V210" s="36">
        <v>0</v>
      </c>
      <c r="W210" s="36">
        <v>0</v>
      </c>
      <c r="X210" s="36">
        <v>0</v>
      </c>
      <c r="Y210" s="36">
        <v>0</v>
      </c>
      <c r="Z210" s="36">
        <v>0</v>
      </c>
      <c r="AA210" s="36">
        <v>0</v>
      </c>
      <c r="AB210" s="36">
        <v>0</v>
      </c>
      <c r="AC210" s="36">
        <v>0</v>
      </c>
      <c r="AD210" s="36">
        <v>0</v>
      </c>
      <c r="AE210" s="36">
        <v>0</v>
      </c>
      <c r="AF210" s="36">
        <v>0</v>
      </c>
      <c r="AG210" s="36">
        <v>0</v>
      </c>
      <c r="AH210" s="36">
        <v>0</v>
      </c>
      <c r="AI210" s="36">
        <v>0</v>
      </c>
      <c r="AJ210" s="36">
        <v>0</v>
      </c>
      <c r="AK210" s="36">
        <v>0</v>
      </c>
      <c r="AL210" s="36">
        <v>0</v>
      </c>
      <c r="AM210" s="36">
        <v>0</v>
      </c>
      <c r="AN210" s="36">
        <v>0</v>
      </c>
      <c r="AO210" s="36">
        <v>0</v>
      </c>
      <c r="AP210" s="36">
        <v>0</v>
      </c>
      <c r="AQ210" s="36">
        <v>0</v>
      </c>
      <c r="AR210" s="36">
        <v>0</v>
      </c>
      <c r="AS210" s="36">
        <v>0</v>
      </c>
      <c r="AT210" s="36">
        <v>0</v>
      </c>
      <c r="AU210" s="36">
        <v>0</v>
      </c>
      <c r="AV210" s="36">
        <v>0</v>
      </c>
      <c r="AW210" s="36">
        <v>0</v>
      </c>
      <c r="AX210" s="36">
        <v>0</v>
      </c>
      <c r="AY210" s="36">
        <v>0</v>
      </c>
      <c r="AZ210" s="36">
        <v>0</v>
      </c>
    </row>
    <row r="211" spans="2:52" ht="17" customHeight="1" x14ac:dyDescent="0.45">
      <c r="B211" s="8" t="s">
        <v>134</v>
      </c>
      <c r="C211" s="30" t="s">
        <v>5</v>
      </c>
      <c r="D211" s="17" t="str">
        <f>IF('TECHNOLOGY REGISTER'!D8="","",'TECHNOLOGY REGISTER'!D8)</f>
        <v>Geothermal</v>
      </c>
      <c r="E211" s="37" t="s">
        <v>53</v>
      </c>
      <c r="F211" s="24" t="str">
        <f t="shared" ref="F211:F259" si="1">IF(E211="","",E211&amp;"/kWh")</f>
        <v>KES/kWh</v>
      </c>
      <c r="G211" s="37">
        <v>0</v>
      </c>
      <c r="H211" s="37">
        <v>0</v>
      </c>
      <c r="I211" s="37">
        <v>0</v>
      </c>
      <c r="J211" s="37">
        <v>0</v>
      </c>
      <c r="K211" s="37">
        <v>0</v>
      </c>
      <c r="L211" s="37">
        <v>0</v>
      </c>
      <c r="M211" s="37">
        <v>0</v>
      </c>
      <c r="N211" s="37">
        <v>0</v>
      </c>
      <c r="O211" s="37">
        <v>0</v>
      </c>
      <c r="P211" s="37">
        <v>0</v>
      </c>
      <c r="Q211" s="37">
        <v>0</v>
      </c>
      <c r="R211" s="37">
        <v>0</v>
      </c>
      <c r="S211" s="37">
        <v>0</v>
      </c>
      <c r="T211" s="37">
        <v>0</v>
      </c>
      <c r="U211" s="37">
        <v>0</v>
      </c>
      <c r="V211" s="37">
        <v>0</v>
      </c>
      <c r="W211" s="37">
        <v>0</v>
      </c>
      <c r="X211" s="37">
        <v>0</v>
      </c>
      <c r="Y211" s="37">
        <v>0</v>
      </c>
      <c r="Z211" s="37">
        <v>0</v>
      </c>
      <c r="AA211" s="37">
        <v>0</v>
      </c>
      <c r="AB211" s="37">
        <v>0</v>
      </c>
      <c r="AC211" s="37">
        <v>0</v>
      </c>
      <c r="AD211" s="37">
        <v>0</v>
      </c>
      <c r="AE211" s="37">
        <v>0</v>
      </c>
      <c r="AF211" s="37">
        <v>0</v>
      </c>
      <c r="AG211" s="37">
        <v>0</v>
      </c>
      <c r="AH211" s="37">
        <v>0</v>
      </c>
      <c r="AI211" s="37">
        <v>0</v>
      </c>
      <c r="AJ211" s="37">
        <v>0</v>
      </c>
      <c r="AK211" s="37">
        <v>0</v>
      </c>
      <c r="AL211" s="37">
        <v>0</v>
      </c>
      <c r="AM211" s="37">
        <v>0</v>
      </c>
      <c r="AN211" s="37">
        <v>0</v>
      </c>
      <c r="AO211" s="37">
        <v>0</v>
      </c>
      <c r="AP211" s="37">
        <v>0</v>
      </c>
      <c r="AQ211" s="37">
        <v>0</v>
      </c>
      <c r="AR211" s="37">
        <v>0</v>
      </c>
      <c r="AS211" s="37">
        <v>0</v>
      </c>
      <c r="AT211" s="37">
        <v>0</v>
      </c>
      <c r="AU211" s="37">
        <v>0</v>
      </c>
      <c r="AV211" s="37">
        <v>0</v>
      </c>
      <c r="AW211" s="37">
        <v>0</v>
      </c>
      <c r="AX211" s="37">
        <v>0</v>
      </c>
      <c r="AY211" s="37">
        <v>0</v>
      </c>
      <c r="AZ211" s="37">
        <v>0</v>
      </c>
    </row>
    <row r="212" spans="2:52" ht="17" customHeight="1" x14ac:dyDescent="0.45">
      <c r="B212" s="33" t="s">
        <v>134</v>
      </c>
      <c r="C212" s="29" t="s">
        <v>5</v>
      </c>
      <c r="D212" s="19" t="str">
        <f>IF('TECHNOLOGY REGISTER'!D9="","",'TECHNOLOGY REGISTER'!D9)</f>
        <v>Solar PV</v>
      </c>
      <c r="E212" s="36" t="s">
        <v>53</v>
      </c>
      <c r="F212" s="32" t="str">
        <f t="shared" si="1"/>
        <v>KES/kWh</v>
      </c>
      <c r="G212" s="36">
        <v>0</v>
      </c>
      <c r="H212" s="36">
        <v>0</v>
      </c>
      <c r="I212" s="36">
        <v>0</v>
      </c>
      <c r="J212" s="36">
        <v>0</v>
      </c>
      <c r="K212" s="36">
        <v>0</v>
      </c>
      <c r="L212" s="36">
        <v>0</v>
      </c>
      <c r="M212" s="36">
        <v>0</v>
      </c>
      <c r="N212" s="36">
        <v>0</v>
      </c>
      <c r="O212" s="36">
        <v>0</v>
      </c>
      <c r="P212" s="36">
        <v>0</v>
      </c>
      <c r="Q212" s="36">
        <v>0</v>
      </c>
      <c r="R212" s="36">
        <v>0</v>
      </c>
      <c r="S212" s="36">
        <v>0</v>
      </c>
      <c r="T212" s="36">
        <v>0</v>
      </c>
      <c r="U212" s="36">
        <v>0</v>
      </c>
      <c r="V212" s="36">
        <v>0</v>
      </c>
      <c r="W212" s="36">
        <v>0</v>
      </c>
      <c r="X212" s="36">
        <v>0</v>
      </c>
      <c r="Y212" s="36">
        <v>0</v>
      </c>
      <c r="Z212" s="36">
        <v>0</v>
      </c>
      <c r="AA212" s="36">
        <v>0</v>
      </c>
      <c r="AB212" s="36">
        <v>0</v>
      </c>
      <c r="AC212" s="36">
        <v>0</v>
      </c>
      <c r="AD212" s="36">
        <v>0</v>
      </c>
      <c r="AE212" s="36">
        <v>0</v>
      </c>
      <c r="AF212" s="36">
        <v>0</v>
      </c>
      <c r="AG212" s="36">
        <v>0</v>
      </c>
      <c r="AH212" s="36">
        <v>0</v>
      </c>
      <c r="AI212" s="36">
        <v>0</v>
      </c>
      <c r="AJ212" s="36">
        <v>0</v>
      </c>
      <c r="AK212" s="36">
        <v>0</v>
      </c>
      <c r="AL212" s="36">
        <v>0</v>
      </c>
      <c r="AM212" s="36">
        <v>0</v>
      </c>
      <c r="AN212" s="36">
        <v>0</v>
      </c>
      <c r="AO212" s="36">
        <v>0</v>
      </c>
      <c r="AP212" s="36">
        <v>0</v>
      </c>
      <c r="AQ212" s="36">
        <v>0</v>
      </c>
      <c r="AR212" s="36">
        <v>0</v>
      </c>
      <c r="AS212" s="36">
        <v>0</v>
      </c>
      <c r="AT212" s="36">
        <v>0</v>
      </c>
      <c r="AU212" s="36">
        <v>0</v>
      </c>
      <c r="AV212" s="36">
        <v>0</v>
      </c>
      <c r="AW212" s="36">
        <v>0</v>
      </c>
      <c r="AX212" s="36">
        <v>0</v>
      </c>
      <c r="AY212" s="36">
        <v>0</v>
      </c>
      <c r="AZ212" s="36">
        <v>0</v>
      </c>
    </row>
    <row r="213" spans="2:52" ht="17" customHeight="1" x14ac:dyDescent="0.45">
      <c r="B213" s="8" t="s">
        <v>134</v>
      </c>
      <c r="C213" s="30" t="s">
        <v>5</v>
      </c>
      <c r="D213" s="17" t="str">
        <f>IF('TECHNOLOGY REGISTER'!D10="","",'TECHNOLOGY REGISTER'!D10)</f>
        <v>CSP</v>
      </c>
      <c r="E213" s="37" t="s">
        <v>53</v>
      </c>
      <c r="F213" s="24" t="str">
        <f t="shared" si="1"/>
        <v>KES/kWh</v>
      </c>
      <c r="G213" s="37">
        <v>11.338070565913819</v>
      </c>
      <c r="H213" s="37">
        <v>11.338070565913819</v>
      </c>
      <c r="I213" s="37">
        <v>11.338070565913819</v>
      </c>
      <c r="J213" s="37">
        <v>11.338070565913819</v>
      </c>
      <c r="K213" s="37">
        <v>11.338070565913819</v>
      </c>
      <c r="L213" s="37">
        <v>11.338070565913819</v>
      </c>
      <c r="M213" s="37">
        <v>11.338070565913819</v>
      </c>
      <c r="N213" s="37">
        <v>11.338070565913819</v>
      </c>
      <c r="O213" s="37">
        <v>11.338070565913819</v>
      </c>
      <c r="P213" s="37">
        <v>11.338070565913819</v>
      </c>
      <c r="Q213" s="37">
        <v>11.338070565913819</v>
      </c>
      <c r="R213" s="37">
        <v>11.338070565913819</v>
      </c>
      <c r="S213" s="37">
        <v>11.338070565913819</v>
      </c>
      <c r="T213" s="37">
        <v>11.338070565913819</v>
      </c>
      <c r="U213" s="37">
        <v>11.338070565913819</v>
      </c>
      <c r="V213" s="37">
        <v>11.338070565913819</v>
      </c>
      <c r="W213" s="37">
        <v>11.338070565913819</v>
      </c>
      <c r="X213" s="37">
        <v>11.338070565913819</v>
      </c>
      <c r="Y213" s="37">
        <v>11.338070565913819</v>
      </c>
      <c r="Z213" s="37">
        <v>11.338070565913819</v>
      </c>
      <c r="AA213" s="37">
        <v>11.338070565913819</v>
      </c>
      <c r="AB213" s="37">
        <v>11.338070565913819</v>
      </c>
      <c r="AC213" s="37">
        <v>11.338070565913819</v>
      </c>
      <c r="AD213" s="37">
        <v>11.338070565913819</v>
      </c>
      <c r="AE213" s="37">
        <v>11.338070565913819</v>
      </c>
      <c r="AF213" s="37">
        <v>11.338070565913819</v>
      </c>
      <c r="AG213" s="37">
        <v>11.338070565913819</v>
      </c>
      <c r="AH213" s="37">
        <v>11.338070565913819</v>
      </c>
      <c r="AI213" s="37">
        <v>11.338070565913819</v>
      </c>
      <c r="AJ213" s="37">
        <v>11.338070565913819</v>
      </c>
      <c r="AK213" s="37">
        <v>11.338070565913819</v>
      </c>
      <c r="AL213" s="37">
        <v>11.338070565913819</v>
      </c>
      <c r="AM213" s="37">
        <v>11.338070565913819</v>
      </c>
      <c r="AN213" s="37">
        <v>11.338070565913819</v>
      </c>
      <c r="AO213" s="37">
        <v>11.338070565913819</v>
      </c>
      <c r="AP213" s="37">
        <v>11.338070565913819</v>
      </c>
      <c r="AQ213" s="37">
        <v>11.338070565913819</v>
      </c>
      <c r="AR213" s="37">
        <v>11.338070565913819</v>
      </c>
      <c r="AS213" s="37">
        <v>11.338070565913819</v>
      </c>
      <c r="AT213" s="37">
        <v>11.338070565913819</v>
      </c>
      <c r="AU213" s="37">
        <v>11.338070565913819</v>
      </c>
      <c r="AV213" s="37">
        <v>11.338070565913819</v>
      </c>
      <c r="AW213" s="37">
        <v>11.338070565913819</v>
      </c>
      <c r="AX213" s="37">
        <v>11.338070565913819</v>
      </c>
      <c r="AY213" s="37">
        <v>11.338070565913819</v>
      </c>
      <c r="AZ213" s="37">
        <v>11.338070565913819</v>
      </c>
    </row>
    <row r="214" spans="2:52" ht="17" customHeight="1" x14ac:dyDescent="0.45">
      <c r="B214" s="33" t="s">
        <v>134</v>
      </c>
      <c r="C214" s="29" t="s">
        <v>5</v>
      </c>
      <c r="D214" s="19" t="str">
        <f>IF('TECHNOLOGY REGISTER'!D11="","",'TECHNOLOGY REGISTER'!D11)</f>
        <v>Hydropower</v>
      </c>
      <c r="E214" s="36" t="s">
        <v>53</v>
      </c>
      <c r="F214" s="32" t="str">
        <f t="shared" si="1"/>
        <v>KES/kWh</v>
      </c>
      <c r="G214" s="36">
        <v>0</v>
      </c>
      <c r="H214" s="36">
        <v>0</v>
      </c>
      <c r="I214" s="36">
        <v>0</v>
      </c>
      <c r="J214" s="36">
        <v>0</v>
      </c>
      <c r="K214" s="36">
        <v>0</v>
      </c>
      <c r="L214" s="36">
        <v>0</v>
      </c>
      <c r="M214" s="36">
        <v>0</v>
      </c>
      <c r="N214" s="36">
        <v>0</v>
      </c>
      <c r="O214" s="36">
        <v>0</v>
      </c>
      <c r="P214" s="36">
        <v>0</v>
      </c>
      <c r="Q214" s="36">
        <v>0</v>
      </c>
      <c r="R214" s="36">
        <v>0</v>
      </c>
      <c r="S214" s="36">
        <v>0</v>
      </c>
      <c r="T214" s="36">
        <v>0</v>
      </c>
      <c r="U214" s="36">
        <v>0</v>
      </c>
      <c r="V214" s="36">
        <v>0</v>
      </c>
      <c r="W214" s="36">
        <v>0</v>
      </c>
      <c r="X214" s="36">
        <v>0</v>
      </c>
      <c r="Y214" s="36">
        <v>0</v>
      </c>
      <c r="Z214" s="36">
        <v>0</v>
      </c>
      <c r="AA214" s="36">
        <v>0</v>
      </c>
      <c r="AB214" s="36">
        <v>0</v>
      </c>
      <c r="AC214" s="36">
        <v>0</v>
      </c>
      <c r="AD214" s="36">
        <v>0</v>
      </c>
      <c r="AE214" s="36">
        <v>0</v>
      </c>
      <c r="AF214" s="36">
        <v>0</v>
      </c>
      <c r="AG214" s="36">
        <v>0</v>
      </c>
      <c r="AH214" s="36">
        <v>0</v>
      </c>
      <c r="AI214" s="36">
        <v>0</v>
      </c>
      <c r="AJ214" s="36">
        <v>0</v>
      </c>
      <c r="AK214" s="36">
        <v>0</v>
      </c>
      <c r="AL214" s="36">
        <v>0</v>
      </c>
      <c r="AM214" s="36">
        <v>0</v>
      </c>
      <c r="AN214" s="36">
        <v>0</v>
      </c>
      <c r="AO214" s="36">
        <v>0</v>
      </c>
      <c r="AP214" s="36">
        <v>0</v>
      </c>
      <c r="AQ214" s="36">
        <v>0</v>
      </c>
      <c r="AR214" s="36">
        <v>0</v>
      </c>
      <c r="AS214" s="36">
        <v>0</v>
      </c>
      <c r="AT214" s="36">
        <v>0</v>
      </c>
      <c r="AU214" s="36">
        <v>0</v>
      </c>
      <c r="AV214" s="36">
        <v>0</v>
      </c>
      <c r="AW214" s="36">
        <v>0</v>
      </c>
      <c r="AX214" s="36">
        <v>0</v>
      </c>
      <c r="AY214" s="36">
        <v>0</v>
      </c>
      <c r="AZ214" s="36">
        <v>0</v>
      </c>
    </row>
    <row r="215" spans="2:52" ht="17" customHeight="1" x14ac:dyDescent="0.45">
      <c r="B215" s="8" t="s">
        <v>134</v>
      </c>
      <c r="C215" s="30" t="s">
        <v>5</v>
      </c>
      <c r="D215" s="17" t="str">
        <f>IF('TECHNOLOGY REGISTER'!D12="","",'TECHNOLOGY REGISTER'!D12)</f>
        <v>Nuclear</v>
      </c>
      <c r="E215" s="37" t="s">
        <v>53</v>
      </c>
      <c r="F215" s="24" t="str">
        <f t="shared" si="1"/>
        <v>KES/kWh</v>
      </c>
      <c r="G215" s="37">
        <v>0</v>
      </c>
      <c r="H215" s="37">
        <v>0</v>
      </c>
      <c r="I215" s="37">
        <v>0</v>
      </c>
      <c r="J215" s="37">
        <v>0</v>
      </c>
      <c r="K215" s="37">
        <v>0</v>
      </c>
      <c r="L215" s="37">
        <v>0</v>
      </c>
      <c r="M215" s="37">
        <v>0</v>
      </c>
      <c r="N215" s="37">
        <v>0</v>
      </c>
      <c r="O215" s="37">
        <v>0</v>
      </c>
      <c r="P215" s="37">
        <v>0</v>
      </c>
      <c r="Q215" s="37">
        <v>0</v>
      </c>
      <c r="R215" s="37">
        <v>0</v>
      </c>
      <c r="S215" s="37">
        <v>0</v>
      </c>
      <c r="T215" s="37">
        <v>0</v>
      </c>
      <c r="U215" s="37">
        <v>0</v>
      </c>
      <c r="V215" s="37">
        <v>0</v>
      </c>
      <c r="W215" s="37">
        <v>0</v>
      </c>
      <c r="X215" s="37">
        <v>0</v>
      </c>
      <c r="Y215" s="37">
        <v>0</v>
      </c>
      <c r="Z215" s="37">
        <v>0</v>
      </c>
      <c r="AA215" s="37">
        <v>0</v>
      </c>
      <c r="AB215" s="37">
        <v>0</v>
      </c>
      <c r="AC215" s="37">
        <v>0</v>
      </c>
      <c r="AD215" s="37">
        <v>0</v>
      </c>
      <c r="AE215" s="37">
        <v>0</v>
      </c>
      <c r="AF215" s="37">
        <v>0</v>
      </c>
      <c r="AG215" s="37">
        <v>0</v>
      </c>
      <c r="AH215" s="37">
        <v>0</v>
      </c>
      <c r="AI215" s="37">
        <v>0</v>
      </c>
      <c r="AJ215" s="37">
        <v>0</v>
      </c>
      <c r="AK215" s="37">
        <v>0</v>
      </c>
      <c r="AL215" s="37">
        <v>0</v>
      </c>
      <c r="AM215" s="37">
        <v>0</v>
      </c>
      <c r="AN215" s="37">
        <v>0</v>
      </c>
      <c r="AO215" s="37">
        <v>0</v>
      </c>
      <c r="AP215" s="37">
        <v>0</v>
      </c>
      <c r="AQ215" s="37">
        <v>0</v>
      </c>
      <c r="AR215" s="37">
        <v>0</v>
      </c>
      <c r="AS215" s="37">
        <v>0</v>
      </c>
      <c r="AT215" s="37">
        <v>0</v>
      </c>
      <c r="AU215" s="37">
        <v>0</v>
      </c>
      <c r="AV215" s="37">
        <v>0</v>
      </c>
      <c r="AW215" s="37">
        <v>0</v>
      </c>
      <c r="AX215" s="37">
        <v>0</v>
      </c>
      <c r="AY215" s="37">
        <v>0</v>
      </c>
      <c r="AZ215" s="37">
        <v>0</v>
      </c>
    </row>
    <row r="216" spans="2:52" ht="17" customHeight="1" x14ac:dyDescent="0.45">
      <c r="B216" s="33" t="s">
        <v>134</v>
      </c>
      <c r="C216" s="29" t="s">
        <v>5</v>
      </c>
      <c r="D216" s="19" t="str">
        <f>IF('TECHNOLOGY REGISTER'!D13="","",'TECHNOLOGY REGISTER'!D13)</f>
        <v>Wind</v>
      </c>
      <c r="E216" s="36" t="s">
        <v>53</v>
      </c>
      <c r="F216" s="32" t="str">
        <f>IF(E216="","",E216&amp;"/kWh")</f>
        <v>KES/kWh</v>
      </c>
      <c r="G216" s="36">
        <v>0</v>
      </c>
      <c r="H216" s="36">
        <v>0</v>
      </c>
      <c r="I216" s="36">
        <v>0</v>
      </c>
      <c r="J216" s="36">
        <v>0</v>
      </c>
      <c r="K216" s="36">
        <v>0</v>
      </c>
      <c r="L216" s="36">
        <v>0</v>
      </c>
      <c r="M216" s="36">
        <v>0</v>
      </c>
      <c r="N216" s="36">
        <v>0</v>
      </c>
      <c r="O216" s="36">
        <v>0</v>
      </c>
      <c r="P216" s="36">
        <v>0</v>
      </c>
      <c r="Q216" s="36">
        <v>0</v>
      </c>
      <c r="R216" s="36">
        <v>0</v>
      </c>
      <c r="S216" s="36">
        <v>0</v>
      </c>
      <c r="T216" s="36">
        <v>0</v>
      </c>
      <c r="U216" s="36">
        <v>0</v>
      </c>
      <c r="V216" s="36">
        <v>0</v>
      </c>
      <c r="W216" s="36">
        <v>0</v>
      </c>
      <c r="X216" s="36">
        <v>0</v>
      </c>
      <c r="Y216" s="36">
        <v>0</v>
      </c>
      <c r="Z216" s="36">
        <v>0</v>
      </c>
      <c r="AA216" s="36">
        <v>0</v>
      </c>
      <c r="AB216" s="36">
        <v>0</v>
      </c>
      <c r="AC216" s="36">
        <v>0</v>
      </c>
      <c r="AD216" s="36">
        <v>0</v>
      </c>
      <c r="AE216" s="36">
        <v>0</v>
      </c>
      <c r="AF216" s="36">
        <v>0</v>
      </c>
      <c r="AG216" s="36">
        <v>0</v>
      </c>
      <c r="AH216" s="36">
        <v>0</v>
      </c>
      <c r="AI216" s="36">
        <v>0</v>
      </c>
      <c r="AJ216" s="36">
        <v>0</v>
      </c>
      <c r="AK216" s="36">
        <v>0</v>
      </c>
      <c r="AL216" s="36">
        <v>0</v>
      </c>
      <c r="AM216" s="36">
        <v>0</v>
      </c>
      <c r="AN216" s="36">
        <v>0</v>
      </c>
      <c r="AO216" s="36">
        <v>0</v>
      </c>
      <c r="AP216" s="36">
        <v>0</v>
      </c>
      <c r="AQ216" s="36">
        <v>0</v>
      </c>
      <c r="AR216" s="36">
        <v>0</v>
      </c>
      <c r="AS216" s="36">
        <v>0</v>
      </c>
      <c r="AT216" s="36">
        <v>0</v>
      </c>
      <c r="AU216" s="36">
        <v>0</v>
      </c>
      <c r="AV216" s="36">
        <v>0</v>
      </c>
      <c r="AW216" s="36">
        <v>0</v>
      </c>
      <c r="AX216" s="36">
        <v>0</v>
      </c>
      <c r="AY216" s="36">
        <v>0</v>
      </c>
      <c r="AZ216" s="36">
        <v>0</v>
      </c>
    </row>
    <row r="217" spans="2:52" ht="17" customHeight="1" x14ac:dyDescent="0.45">
      <c r="B217" s="8" t="s">
        <v>134</v>
      </c>
      <c r="C217" s="30" t="s">
        <v>5</v>
      </c>
      <c r="D217" s="17" t="str">
        <f>IF('TECHNOLOGY REGISTER'!D14="","",'TECHNOLOGY REGISTER'!D14)</f>
        <v>Coal</v>
      </c>
      <c r="E217" s="37" t="s">
        <v>53</v>
      </c>
      <c r="F217" s="24" t="str">
        <f t="shared" si="1"/>
        <v>KES/kWh</v>
      </c>
      <c r="G217" s="37">
        <v>0</v>
      </c>
      <c r="H217" s="37">
        <v>0</v>
      </c>
      <c r="I217" s="37">
        <v>0</v>
      </c>
      <c r="J217" s="37">
        <v>0</v>
      </c>
      <c r="K217" s="37">
        <v>0</v>
      </c>
      <c r="L217" s="37">
        <v>0</v>
      </c>
      <c r="M217" s="37">
        <v>0</v>
      </c>
      <c r="N217" s="37">
        <v>0</v>
      </c>
      <c r="O217" s="37">
        <v>0</v>
      </c>
      <c r="P217" s="37">
        <v>0</v>
      </c>
      <c r="Q217" s="37">
        <v>0</v>
      </c>
      <c r="R217" s="37">
        <v>0</v>
      </c>
      <c r="S217" s="37">
        <v>0</v>
      </c>
      <c r="T217" s="37">
        <v>0</v>
      </c>
      <c r="U217" s="37">
        <v>0</v>
      </c>
      <c r="V217" s="37">
        <v>0</v>
      </c>
      <c r="W217" s="37">
        <v>0</v>
      </c>
      <c r="X217" s="37">
        <v>0</v>
      </c>
      <c r="Y217" s="37">
        <v>0</v>
      </c>
      <c r="Z217" s="37">
        <v>0</v>
      </c>
      <c r="AA217" s="37">
        <v>0</v>
      </c>
      <c r="AB217" s="37">
        <v>0</v>
      </c>
      <c r="AC217" s="37">
        <v>0</v>
      </c>
      <c r="AD217" s="37">
        <v>0</v>
      </c>
      <c r="AE217" s="37">
        <v>0</v>
      </c>
      <c r="AF217" s="37">
        <v>0</v>
      </c>
      <c r="AG217" s="37">
        <v>0</v>
      </c>
      <c r="AH217" s="37">
        <v>0</v>
      </c>
      <c r="AI217" s="37">
        <v>0</v>
      </c>
      <c r="AJ217" s="37">
        <v>0</v>
      </c>
      <c r="AK217" s="37">
        <v>0</v>
      </c>
      <c r="AL217" s="37">
        <v>0</v>
      </c>
      <c r="AM217" s="37">
        <v>0</v>
      </c>
      <c r="AN217" s="37">
        <v>0</v>
      </c>
      <c r="AO217" s="37">
        <v>0</v>
      </c>
      <c r="AP217" s="37">
        <v>0</v>
      </c>
      <c r="AQ217" s="37">
        <v>0</v>
      </c>
      <c r="AR217" s="37">
        <v>0</v>
      </c>
      <c r="AS217" s="37">
        <v>0</v>
      </c>
      <c r="AT217" s="37">
        <v>0</v>
      </c>
      <c r="AU217" s="37">
        <v>0</v>
      </c>
      <c r="AV217" s="37">
        <v>0</v>
      </c>
      <c r="AW217" s="37">
        <v>0</v>
      </c>
      <c r="AX217" s="37">
        <v>0</v>
      </c>
      <c r="AY217" s="37">
        <v>0</v>
      </c>
      <c r="AZ217" s="37">
        <v>0</v>
      </c>
    </row>
    <row r="218" spans="2:52" ht="17" customHeight="1" x14ac:dyDescent="0.45">
      <c r="B218" s="33" t="s">
        <v>134</v>
      </c>
      <c r="C218" s="29" t="s">
        <v>5</v>
      </c>
      <c r="D218" s="19" t="str">
        <f>IF('TECHNOLOGY REGISTER'!D15="","",'TECHNOLOGY REGISTER'!D15)</f>
        <v>Oil</v>
      </c>
      <c r="E218" s="36" t="s">
        <v>53</v>
      </c>
      <c r="F218" s="32" t="str">
        <f t="shared" si="1"/>
        <v>KES/kWh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  <c r="N218" s="36">
        <v>0</v>
      </c>
      <c r="O218" s="36">
        <v>0</v>
      </c>
      <c r="P218" s="36">
        <v>0</v>
      </c>
      <c r="Q218" s="36">
        <v>0</v>
      </c>
      <c r="R218" s="36">
        <v>0</v>
      </c>
      <c r="S218" s="36">
        <v>0</v>
      </c>
      <c r="T218" s="36">
        <v>0</v>
      </c>
      <c r="U218" s="36">
        <v>0</v>
      </c>
      <c r="V218" s="36">
        <v>0</v>
      </c>
      <c r="W218" s="36">
        <v>0</v>
      </c>
      <c r="X218" s="36">
        <v>0</v>
      </c>
      <c r="Y218" s="36">
        <v>0</v>
      </c>
      <c r="Z218" s="36">
        <v>0</v>
      </c>
      <c r="AA218" s="36">
        <v>0</v>
      </c>
      <c r="AB218" s="36">
        <v>0</v>
      </c>
      <c r="AC218" s="36">
        <v>0</v>
      </c>
      <c r="AD218" s="36">
        <v>0</v>
      </c>
      <c r="AE218" s="36">
        <v>0</v>
      </c>
      <c r="AF218" s="36">
        <v>0</v>
      </c>
      <c r="AG218" s="36">
        <v>0</v>
      </c>
      <c r="AH218" s="36">
        <v>0</v>
      </c>
      <c r="AI218" s="36">
        <v>0</v>
      </c>
      <c r="AJ218" s="36">
        <v>0</v>
      </c>
      <c r="AK218" s="36">
        <v>0</v>
      </c>
      <c r="AL218" s="36">
        <v>0</v>
      </c>
      <c r="AM218" s="36">
        <v>0</v>
      </c>
      <c r="AN218" s="36">
        <v>0</v>
      </c>
      <c r="AO218" s="36">
        <v>0</v>
      </c>
      <c r="AP218" s="36">
        <v>0</v>
      </c>
      <c r="AQ218" s="36">
        <v>0</v>
      </c>
      <c r="AR218" s="36">
        <v>0</v>
      </c>
      <c r="AS218" s="36">
        <v>0</v>
      </c>
      <c r="AT218" s="36">
        <v>0</v>
      </c>
      <c r="AU218" s="36">
        <v>0</v>
      </c>
      <c r="AV218" s="36">
        <v>0</v>
      </c>
      <c r="AW218" s="36">
        <v>0</v>
      </c>
      <c r="AX218" s="36">
        <v>0</v>
      </c>
      <c r="AY218" s="36">
        <v>0</v>
      </c>
      <c r="AZ218" s="36">
        <v>0</v>
      </c>
    </row>
    <row r="219" spans="2:52" ht="17" customHeight="1" x14ac:dyDescent="0.45">
      <c r="B219" s="8" t="s">
        <v>134</v>
      </c>
      <c r="C219" s="30" t="s">
        <v>5</v>
      </c>
      <c r="D219" s="17" t="str">
        <f>IF('TECHNOLOGY REGISTER'!D16="","",'TECHNOLOGY REGISTER'!D16)</f>
        <v>Gas</v>
      </c>
      <c r="E219" s="37" t="s">
        <v>53</v>
      </c>
      <c r="F219" s="24" t="str">
        <f t="shared" si="1"/>
        <v>KES/kWh</v>
      </c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</row>
    <row r="220" spans="2:52" ht="17" customHeight="1" x14ac:dyDescent="0.45">
      <c r="B220" s="33" t="s">
        <v>134</v>
      </c>
      <c r="C220" s="29" t="s">
        <v>5</v>
      </c>
      <c r="D220" s="19" t="str">
        <f>IF('TECHNOLOGY REGISTER'!D17="","",'TECHNOLOGY REGISTER'!D17)</f>
        <v>Transmission</v>
      </c>
      <c r="E220" s="36" t="s">
        <v>53</v>
      </c>
      <c r="F220" s="32" t="str">
        <f t="shared" si="1"/>
        <v>KES/kWh</v>
      </c>
      <c r="G220" s="36">
        <v>0</v>
      </c>
      <c r="H220" s="36">
        <v>0</v>
      </c>
      <c r="I220" s="36">
        <v>0</v>
      </c>
      <c r="J220" s="36">
        <v>0</v>
      </c>
      <c r="K220" s="36">
        <v>0</v>
      </c>
      <c r="L220" s="36">
        <v>0</v>
      </c>
      <c r="M220" s="36">
        <v>0</v>
      </c>
      <c r="N220" s="36">
        <v>0</v>
      </c>
      <c r="O220" s="36">
        <v>0</v>
      </c>
      <c r="P220" s="36">
        <v>0</v>
      </c>
      <c r="Q220" s="36">
        <v>0</v>
      </c>
      <c r="R220" s="36">
        <v>0</v>
      </c>
      <c r="S220" s="36">
        <v>0</v>
      </c>
      <c r="T220" s="36">
        <v>0</v>
      </c>
      <c r="U220" s="36">
        <v>0</v>
      </c>
      <c r="V220" s="36">
        <v>0</v>
      </c>
      <c r="W220" s="36">
        <v>0</v>
      </c>
      <c r="X220" s="36">
        <v>0</v>
      </c>
      <c r="Y220" s="36">
        <v>0</v>
      </c>
      <c r="Z220" s="36">
        <v>0</v>
      </c>
      <c r="AA220" s="36">
        <v>0</v>
      </c>
      <c r="AB220" s="36">
        <v>0</v>
      </c>
      <c r="AC220" s="36">
        <v>0</v>
      </c>
      <c r="AD220" s="36">
        <v>0</v>
      </c>
      <c r="AE220" s="36">
        <v>0</v>
      </c>
      <c r="AF220" s="36">
        <v>0</v>
      </c>
      <c r="AG220" s="36">
        <v>0</v>
      </c>
      <c r="AH220" s="36">
        <v>0</v>
      </c>
      <c r="AI220" s="36">
        <v>0</v>
      </c>
      <c r="AJ220" s="36">
        <v>0</v>
      </c>
      <c r="AK220" s="36">
        <v>0</v>
      </c>
      <c r="AL220" s="36">
        <v>0</v>
      </c>
      <c r="AM220" s="36">
        <v>0</v>
      </c>
      <c r="AN220" s="36">
        <v>0</v>
      </c>
      <c r="AO220" s="36">
        <v>0</v>
      </c>
      <c r="AP220" s="36">
        <v>0</v>
      </c>
      <c r="AQ220" s="36">
        <v>0</v>
      </c>
      <c r="AR220" s="36">
        <v>0</v>
      </c>
      <c r="AS220" s="36">
        <v>0</v>
      </c>
      <c r="AT220" s="36">
        <v>0</v>
      </c>
      <c r="AU220" s="36">
        <v>0</v>
      </c>
      <c r="AV220" s="36">
        <v>0</v>
      </c>
      <c r="AW220" s="36">
        <v>0</v>
      </c>
      <c r="AX220" s="36">
        <v>0</v>
      </c>
      <c r="AY220" s="36">
        <v>0</v>
      </c>
      <c r="AZ220" s="36">
        <v>0</v>
      </c>
    </row>
    <row r="221" spans="2:52" ht="17" customHeight="1" x14ac:dyDescent="0.45">
      <c r="B221" s="8" t="s">
        <v>134</v>
      </c>
      <c r="C221" s="30" t="s">
        <v>5</v>
      </c>
      <c r="D221" s="17" t="str">
        <f>IF('TECHNOLOGY REGISTER'!D18="","",'TECHNOLOGY REGISTER'!D18)</f>
        <v>Distribution</v>
      </c>
      <c r="E221" s="37" t="s">
        <v>53</v>
      </c>
      <c r="F221" s="24" t="str">
        <f t="shared" si="1"/>
        <v>KES/kWh</v>
      </c>
      <c r="G221" s="37">
        <v>0</v>
      </c>
      <c r="H221" s="37">
        <v>0</v>
      </c>
      <c r="I221" s="37">
        <v>0</v>
      </c>
      <c r="J221" s="37">
        <v>0</v>
      </c>
      <c r="K221" s="37">
        <v>0</v>
      </c>
      <c r="L221" s="37">
        <v>0</v>
      </c>
      <c r="M221" s="37">
        <v>0</v>
      </c>
      <c r="N221" s="37">
        <v>0</v>
      </c>
      <c r="O221" s="37">
        <v>0</v>
      </c>
      <c r="P221" s="37">
        <v>0</v>
      </c>
      <c r="Q221" s="37">
        <v>0</v>
      </c>
      <c r="R221" s="37">
        <v>0</v>
      </c>
      <c r="S221" s="37">
        <v>0</v>
      </c>
      <c r="T221" s="37">
        <v>0</v>
      </c>
      <c r="U221" s="37">
        <v>0</v>
      </c>
      <c r="V221" s="37">
        <v>0</v>
      </c>
      <c r="W221" s="37">
        <v>0</v>
      </c>
      <c r="X221" s="37">
        <v>0</v>
      </c>
      <c r="Y221" s="37">
        <v>0</v>
      </c>
      <c r="Z221" s="37">
        <v>0</v>
      </c>
      <c r="AA221" s="37">
        <v>0</v>
      </c>
      <c r="AB221" s="37">
        <v>0</v>
      </c>
      <c r="AC221" s="37">
        <v>0</v>
      </c>
      <c r="AD221" s="37">
        <v>0</v>
      </c>
      <c r="AE221" s="37">
        <v>0</v>
      </c>
      <c r="AF221" s="37">
        <v>0</v>
      </c>
      <c r="AG221" s="37">
        <v>0</v>
      </c>
      <c r="AH221" s="37">
        <v>0</v>
      </c>
      <c r="AI221" s="37">
        <v>0</v>
      </c>
      <c r="AJ221" s="37">
        <v>0</v>
      </c>
      <c r="AK221" s="37">
        <v>0</v>
      </c>
      <c r="AL221" s="37">
        <v>0</v>
      </c>
      <c r="AM221" s="37">
        <v>0</v>
      </c>
      <c r="AN221" s="37">
        <v>0</v>
      </c>
      <c r="AO221" s="37">
        <v>0</v>
      </c>
      <c r="AP221" s="37">
        <v>0</v>
      </c>
      <c r="AQ221" s="37">
        <v>0</v>
      </c>
      <c r="AR221" s="37">
        <v>0</v>
      </c>
      <c r="AS221" s="37">
        <v>0</v>
      </c>
      <c r="AT221" s="37">
        <v>0</v>
      </c>
      <c r="AU221" s="37">
        <v>0</v>
      </c>
      <c r="AV221" s="37">
        <v>0</v>
      </c>
      <c r="AW221" s="37">
        <v>0</v>
      </c>
      <c r="AX221" s="37">
        <v>0</v>
      </c>
      <c r="AY221" s="37">
        <v>0</v>
      </c>
      <c r="AZ221" s="37">
        <v>0</v>
      </c>
    </row>
    <row r="222" spans="2:52" ht="17" customHeight="1" x14ac:dyDescent="0.45">
      <c r="B222" s="33" t="s">
        <v>134</v>
      </c>
      <c r="C222" s="29" t="s">
        <v>5</v>
      </c>
      <c r="D222" s="19" t="str">
        <f>IF('TECHNOLOGY REGISTER'!D19="","",'TECHNOLOGY REGISTER'!D19)</f>
        <v>Imports</v>
      </c>
      <c r="E222" s="36"/>
      <c r="F222" s="32" t="str">
        <f t="shared" si="1"/>
        <v/>
      </c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</row>
    <row r="223" spans="2:52" ht="17" customHeight="1" x14ac:dyDescent="0.45">
      <c r="B223" s="8" t="s">
        <v>134</v>
      </c>
      <c r="C223" s="30" t="s">
        <v>5</v>
      </c>
      <c r="D223" s="17" t="str">
        <f>IF('TECHNOLOGY REGISTER'!D20="","",'TECHNOLOGY REGISTER'!D20)</f>
        <v>Energy Exports</v>
      </c>
      <c r="E223" s="37"/>
      <c r="F223" s="24" t="str">
        <f t="shared" si="1"/>
        <v/>
      </c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</row>
    <row r="224" spans="2:52" ht="17" customHeight="1" x14ac:dyDescent="0.45">
      <c r="B224" s="33" t="s">
        <v>134</v>
      </c>
      <c r="C224" s="29" t="s">
        <v>5</v>
      </c>
      <c r="D224" s="19" t="str">
        <f>IF('TECHNOLOGY REGISTER'!D21="","",'TECHNOLOGY REGISTER'!D21)</f>
        <v>Direct Solar</v>
      </c>
      <c r="E224" s="36"/>
      <c r="F224" s="32" t="str">
        <f t="shared" si="1"/>
        <v/>
      </c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</row>
    <row r="225" spans="2:52" ht="15" customHeight="1" x14ac:dyDescent="0.45">
      <c r="B225" s="8" t="s">
        <v>134</v>
      </c>
      <c r="C225" s="30" t="s">
        <v>5</v>
      </c>
      <c r="D225" s="17" t="str">
        <f>IF('TECHNOLOGY REGISTER'!D22="","",'TECHNOLOGY REGISTER'!D22)</f>
        <v>Direct Oil</v>
      </c>
      <c r="E225" s="16"/>
      <c r="F225" s="24" t="str">
        <f t="shared" si="1"/>
        <v/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</row>
    <row r="226" spans="2:52" ht="15" customHeight="1" x14ac:dyDescent="0.45">
      <c r="B226" s="33" t="s">
        <v>134</v>
      </c>
      <c r="C226" s="29" t="s">
        <v>5</v>
      </c>
      <c r="D226" s="19" t="str">
        <f>IF('TECHNOLOGY REGISTER'!D23="","",'TECHNOLOGY REGISTER'!D23)</f>
        <v>Direct Hydro</v>
      </c>
      <c r="E226" s="18"/>
      <c r="F226" s="32" t="str">
        <f t="shared" si="1"/>
        <v/>
      </c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</row>
    <row r="227" spans="2:52" ht="15" customHeight="1" x14ac:dyDescent="0.45">
      <c r="B227" s="8" t="s">
        <v>134</v>
      </c>
      <c r="C227" s="30" t="s">
        <v>5</v>
      </c>
      <c r="D227" s="17" t="str">
        <f>IF('TECHNOLOGY REGISTER'!D24="","",'TECHNOLOGY REGISTER'!D24)</f>
        <v/>
      </c>
      <c r="E227" s="16"/>
      <c r="F227" s="24" t="str">
        <f t="shared" si="1"/>
        <v/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</row>
    <row r="228" spans="2:52" ht="15" customHeight="1" x14ac:dyDescent="0.45">
      <c r="B228" s="33" t="s">
        <v>134</v>
      </c>
      <c r="C228" s="29" t="s">
        <v>5</v>
      </c>
      <c r="D228" s="19" t="str">
        <f>IF('TECHNOLOGY REGISTER'!D25="","",'TECHNOLOGY REGISTER'!D25)</f>
        <v/>
      </c>
      <c r="E228" s="18"/>
      <c r="F228" s="32" t="str">
        <f t="shared" si="1"/>
        <v/>
      </c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</row>
    <row r="229" spans="2:52" ht="15" customHeight="1" x14ac:dyDescent="0.45">
      <c r="B229" s="8" t="s">
        <v>134</v>
      </c>
      <c r="C229" s="30" t="s">
        <v>5</v>
      </c>
      <c r="D229" s="17" t="str">
        <f>IF('TECHNOLOGY REGISTER'!D26="","",'TECHNOLOGY REGISTER'!D26)</f>
        <v/>
      </c>
      <c r="E229" s="16"/>
      <c r="F229" s="24" t="str">
        <f t="shared" si="1"/>
        <v/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</row>
    <row r="230" spans="2:52" ht="15" customHeight="1" x14ac:dyDescent="0.45">
      <c r="B230" s="33" t="s">
        <v>134</v>
      </c>
      <c r="C230" s="29" t="s">
        <v>5</v>
      </c>
      <c r="D230" s="19" t="str">
        <f>IF('TECHNOLOGY REGISTER'!D27="","",'TECHNOLOGY REGISTER'!D27)</f>
        <v/>
      </c>
      <c r="E230" s="18"/>
      <c r="F230" s="32" t="str">
        <f t="shared" si="1"/>
        <v/>
      </c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</row>
    <row r="231" spans="2:52" ht="15" customHeight="1" x14ac:dyDescent="0.45">
      <c r="B231" s="8" t="s">
        <v>134</v>
      </c>
      <c r="C231" s="30" t="s">
        <v>5</v>
      </c>
      <c r="D231" s="17" t="str">
        <f>IF('TECHNOLOGY REGISTER'!D28="","",'TECHNOLOGY REGISTER'!D28)</f>
        <v/>
      </c>
      <c r="E231" s="16"/>
      <c r="F231" s="24" t="str">
        <f t="shared" si="1"/>
        <v/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</row>
    <row r="232" spans="2:52" ht="15" customHeight="1" x14ac:dyDescent="0.45">
      <c r="B232" s="33" t="s">
        <v>134</v>
      </c>
      <c r="C232" s="29" t="s">
        <v>5</v>
      </c>
      <c r="D232" s="19" t="str">
        <f>IF('TECHNOLOGY REGISTER'!D29="","",'TECHNOLOGY REGISTER'!D29)</f>
        <v/>
      </c>
      <c r="E232" s="18"/>
      <c r="F232" s="32" t="str">
        <f t="shared" si="1"/>
        <v/>
      </c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</row>
    <row r="233" spans="2:52" ht="15" customHeight="1" x14ac:dyDescent="0.45">
      <c r="B233" s="8" t="s">
        <v>134</v>
      </c>
      <c r="C233" s="30" t="s">
        <v>5</v>
      </c>
      <c r="D233" s="17" t="str">
        <f>IF('TECHNOLOGY REGISTER'!D30="","",'TECHNOLOGY REGISTER'!D30)</f>
        <v/>
      </c>
      <c r="E233" s="16"/>
      <c r="F233" s="24" t="str">
        <f t="shared" si="1"/>
        <v/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</row>
    <row r="234" spans="2:52" ht="15" customHeight="1" x14ac:dyDescent="0.45">
      <c r="B234" s="33" t="s">
        <v>134</v>
      </c>
      <c r="C234" s="29" t="s">
        <v>5</v>
      </c>
      <c r="D234" s="19" t="str">
        <f>IF('TECHNOLOGY REGISTER'!D31="","",'TECHNOLOGY REGISTER'!D31)</f>
        <v/>
      </c>
      <c r="E234" s="18"/>
      <c r="F234" s="32" t="str">
        <f t="shared" si="1"/>
        <v/>
      </c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</row>
    <row r="235" spans="2:52" ht="15" customHeight="1" x14ac:dyDescent="0.45">
      <c r="B235" s="8" t="s">
        <v>134</v>
      </c>
      <c r="C235" s="30" t="s">
        <v>5</v>
      </c>
      <c r="D235" s="17" t="str">
        <f>IF('TECHNOLOGY REGISTER'!D32="","",'TECHNOLOGY REGISTER'!D32)</f>
        <v/>
      </c>
      <c r="E235" s="16"/>
      <c r="F235" s="24" t="str">
        <f t="shared" si="1"/>
        <v/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</row>
    <row r="236" spans="2:52" ht="15" customHeight="1" x14ac:dyDescent="0.45">
      <c r="B236" s="33" t="s">
        <v>134</v>
      </c>
      <c r="C236" s="29" t="s">
        <v>5</v>
      </c>
      <c r="D236" s="19" t="str">
        <f>IF('TECHNOLOGY REGISTER'!D33="","",'TECHNOLOGY REGISTER'!D33)</f>
        <v/>
      </c>
      <c r="E236" s="18"/>
      <c r="F236" s="32" t="str">
        <f t="shared" si="1"/>
        <v/>
      </c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</row>
    <row r="237" spans="2:52" ht="15" customHeight="1" x14ac:dyDescent="0.45">
      <c r="B237" s="8" t="s">
        <v>134</v>
      </c>
      <c r="C237" s="30" t="s">
        <v>5</v>
      </c>
      <c r="D237" s="17" t="str">
        <f>IF('TECHNOLOGY REGISTER'!D34="","",'TECHNOLOGY REGISTER'!D34)</f>
        <v/>
      </c>
      <c r="E237" s="16"/>
      <c r="F237" s="24" t="str">
        <f t="shared" si="1"/>
        <v/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</row>
    <row r="238" spans="2:52" ht="15" customHeight="1" x14ac:dyDescent="0.45">
      <c r="B238" s="33" t="s">
        <v>134</v>
      </c>
      <c r="C238" s="29" t="s">
        <v>5</v>
      </c>
      <c r="D238" s="19" t="str">
        <f>IF('TECHNOLOGY REGISTER'!D35="","",'TECHNOLOGY REGISTER'!D35)</f>
        <v/>
      </c>
      <c r="E238" s="18"/>
      <c r="F238" s="32" t="str">
        <f t="shared" si="1"/>
        <v/>
      </c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</row>
    <row r="239" spans="2:52" ht="15" customHeight="1" x14ac:dyDescent="0.45">
      <c r="B239" s="8" t="s">
        <v>134</v>
      </c>
      <c r="C239" s="30" t="s">
        <v>5</v>
      </c>
      <c r="D239" s="17" t="str">
        <f>IF('TECHNOLOGY REGISTER'!D36="","",'TECHNOLOGY REGISTER'!D36)</f>
        <v/>
      </c>
      <c r="E239" s="16"/>
      <c r="F239" s="24" t="str">
        <f t="shared" si="1"/>
        <v/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</row>
    <row r="240" spans="2:52" ht="15" customHeight="1" x14ac:dyDescent="0.45">
      <c r="B240" s="33" t="s">
        <v>134</v>
      </c>
      <c r="C240" s="29" t="s">
        <v>5</v>
      </c>
      <c r="D240" s="19" t="str">
        <f>IF('TECHNOLOGY REGISTER'!D37="","",'TECHNOLOGY REGISTER'!D37)</f>
        <v/>
      </c>
      <c r="E240" s="18"/>
      <c r="F240" s="32" t="str">
        <f t="shared" si="1"/>
        <v/>
      </c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</row>
    <row r="241" spans="2:52" ht="15" customHeight="1" x14ac:dyDescent="0.45">
      <c r="B241" s="8" t="s">
        <v>134</v>
      </c>
      <c r="C241" s="30" t="s">
        <v>5</v>
      </c>
      <c r="D241" s="17" t="str">
        <f>IF('TECHNOLOGY REGISTER'!D38="","",'TECHNOLOGY REGISTER'!D38)</f>
        <v/>
      </c>
      <c r="E241" s="16"/>
      <c r="F241" s="24" t="str">
        <f t="shared" si="1"/>
        <v/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</row>
    <row r="242" spans="2:52" ht="15" customHeight="1" x14ac:dyDescent="0.45">
      <c r="B242" s="33" t="s">
        <v>134</v>
      </c>
      <c r="C242" s="29" t="s">
        <v>5</v>
      </c>
      <c r="D242" s="19" t="str">
        <f>IF('TECHNOLOGY REGISTER'!D39="","",'TECHNOLOGY REGISTER'!D39)</f>
        <v/>
      </c>
      <c r="E242" s="18"/>
      <c r="F242" s="32" t="str">
        <f t="shared" si="1"/>
        <v/>
      </c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</row>
    <row r="243" spans="2:52" ht="15" customHeight="1" x14ac:dyDescent="0.45">
      <c r="B243" s="8" t="s">
        <v>134</v>
      </c>
      <c r="C243" s="30" t="s">
        <v>5</v>
      </c>
      <c r="D243" s="17" t="str">
        <f>IF('TECHNOLOGY REGISTER'!D40="","",'TECHNOLOGY REGISTER'!D40)</f>
        <v/>
      </c>
      <c r="E243" s="16"/>
      <c r="F243" s="24" t="str">
        <f t="shared" si="1"/>
        <v/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</row>
    <row r="244" spans="2:52" ht="15" customHeight="1" x14ac:dyDescent="0.45">
      <c r="B244" s="33" t="s">
        <v>134</v>
      </c>
      <c r="C244" s="29" t="s">
        <v>5</v>
      </c>
      <c r="D244" s="19" t="str">
        <f>IF('TECHNOLOGY REGISTER'!D41="","",'TECHNOLOGY REGISTER'!D41)</f>
        <v/>
      </c>
      <c r="E244" s="18"/>
      <c r="F244" s="32" t="str">
        <f t="shared" si="1"/>
        <v/>
      </c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</row>
    <row r="245" spans="2:52" ht="15" customHeight="1" x14ac:dyDescent="0.45">
      <c r="B245" s="8" t="s">
        <v>134</v>
      </c>
      <c r="C245" s="30" t="s">
        <v>5</v>
      </c>
      <c r="D245" s="17" t="str">
        <f>IF('TECHNOLOGY REGISTER'!D42="","",'TECHNOLOGY REGISTER'!D42)</f>
        <v/>
      </c>
      <c r="E245" s="16"/>
      <c r="F245" s="24" t="str">
        <f t="shared" si="1"/>
        <v/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</row>
    <row r="246" spans="2:52" ht="15" customHeight="1" x14ac:dyDescent="0.45">
      <c r="B246" s="33" t="s">
        <v>134</v>
      </c>
      <c r="C246" s="29" t="s">
        <v>5</v>
      </c>
      <c r="D246" s="19" t="str">
        <f>IF('TECHNOLOGY REGISTER'!D43="","",'TECHNOLOGY REGISTER'!D43)</f>
        <v/>
      </c>
      <c r="E246" s="18"/>
      <c r="F246" s="32" t="str">
        <f t="shared" si="1"/>
        <v/>
      </c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</row>
    <row r="247" spans="2:52" ht="15" customHeight="1" x14ac:dyDescent="0.45">
      <c r="B247" s="8" t="s">
        <v>134</v>
      </c>
      <c r="C247" s="30" t="s">
        <v>5</v>
      </c>
      <c r="D247" s="17" t="str">
        <f>IF('TECHNOLOGY REGISTER'!D44="","",'TECHNOLOGY REGISTER'!D44)</f>
        <v/>
      </c>
      <c r="E247" s="16"/>
      <c r="F247" s="24" t="str">
        <f t="shared" si="1"/>
        <v/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</row>
    <row r="248" spans="2:52" ht="15" customHeight="1" x14ac:dyDescent="0.45">
      <c r="B248" s="33" t="s">
        <v>134</v>
      </c>
      <c r="C248" s="29" t="s">
        <v>5</v>
      </c>
      <c r="D248" s="19" t="str">
        <f>IF('TECHNOLOGY REGISTER'!D45="","",'TECHNOLOGY REGISTER'!D45)</f>
        <v/>
      </c>
      <c r="E248" s="18"/>
      <c r="F248" s="32" t="str">
        <f t="shared" si="1"/>
        <v/>
      </c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</row>
    <row r="249" spans="2:52" ht="15" customHeight="1" x14ac:dyDescent="0.45">
      <c r="B249" s="8" t="s">
        <v>134</v>
      </c>
      <c r="C249" s="30" t="s">
        <v>5</v>
      </c>
      <c r="D249" s="17" t="str">
        <f>IF('TECHNOLOGY REGISTER'!D46="","",'TECHNOLOGY REGISTER'!D46)</f>
        <v/>
      </c>
      <c r="E249" s="16"/>
      <c r="F249" s="24" t="str">
        <f t="shared" si="1"/>
        <v/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</row>
    <row r="250" spans="2:52" ht="15" customHeight="1" x14ac:dyDescent="0.45">
      <c r="B250" s="33" t="s">
        <v>134</v>
      </c>
      <c r="C250" s="29" t="s">
        <v>5</v>
      </c>
      <c r="D250" s="19" t="str">
        <f>IF('TECHNOLOGY REGISTER'!D47="","",'TECHNOLOGY REGISTER'!D47)</f>
        <v/>
      </c>
      <c r="E250" s="18"/>
      <c r="F250" s="32" t="str">
        <f t="shared" si="1"/>
        <v/>
      </c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</row>
    <row r="251" spans="2:52" ht="15" customHeight="1" x14ac:dyDescent="0.45">
      <c r="B251" s="8" t="s">
        <v>134</v>
      </c>
      <c r="C251" s="30" t="s">
        <v>5</v>
      </c>
      <c r="D251" s="17" t="str">
        <f>IF('TECHNOLOGY REGISTER'!D48="","",'TECHNOLOGY REGISTER'!D48)</f>
        <v/>
      </c>
      <c r="E251" s="16"/>
      <c r="F251" s="24" t="str">
        <f t="shared" si="1"/>
        <v/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</row>
    <row r="252" spans="2:52" ht="15" customHeight="1" x14ac:dyDescent="0.45">
      <c r="B252" s="33" t="s">
        <v>134</v>
      </c>
      <c r="C252" s="29" t="s">
        <v>5</v>
      </c>
      <c r="D252" s="19" t="str">
        <f>IF('TECHNOLOGY REGISTER'!D49="","",'TECHNOLOGY REGISTER'!D49)</f>
        <v/>
      </c>
      <c r="E252" s="18"/>
      <c r="F252" s="32" t="str">
        <f t="shared" si="1"/>
        <v/>
      </c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</row>
    <row r="253" spans="2:52" ht="15" customHeight="1" x14ac:dyDescent="0.45">
      <c r="B253" s="8" t="s">
        <v>134</v>
      </c>
      <c r="C253" s="30" t="s">
        <v>5</v>
      </c>
      <c r="D253" s="17" t="str">
        <f>IF('TECHNOLOGY REGISTER'!D50="","",'TECHNOLOGY REGISTER'!D50)</f>
        <v/>
      </c>
      <c r="E253" s="16"/>
      <c r="F253" s="24" t="str">
        <f t="shared" si="1"/>
        <v/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</row>
    <row r="254" spans="2:52" ht="15" customHeight="1" x14ac:dyDescent="0.45">
      <c r="B254" s="33" t="s">
        <v>134</v>
      </c>
      <c r="C254" s="29" t="s">
        <v>5</v>
      </c>
      <c r="D254" s="19" t="str">
        <f>IF('TECHNOLOGY REGISTER'!D51="","",'TECHNOLOGY REGISTER'!D51)</f>
        <v/>
      </c>
      <c r="E254" s="18"/>
      <c r="F254" s="32" t="str">
        <f t="shared" si="1"/>
        <v/>
      </c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</row>
    <row r="255" spans="2:52" ht="15" customHeight="1" x14ac:dyDescent="0.45">
      <c r="B255" s="8" t="s">
        <v>134</v>
      </c>
      <c r="C255" s="30" t="s">
        <v>5</v>
      </c>
      <c r="D255" s="17" t="str">
        <f>IF('TECHNOLOGY REGISTER'!D52="","",'TECHNOLOGY REGISTER'!D52)</f>
        <v/>
      </c>
      <c r="E255" s="16"/>
      <c r="F255" s="24" t="str">
        <f t="shared" si="1"/>
        <v/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</row>
    <row r="256" spans="2:52" ht="15" customHeight="1" x14ac:dyDescent="0.45">
      <c r="B256" s="33" t="s">
        <v>134</v>
      </c>
      <c r="C256" s="29" t="s">
        <v>5</v>
      </c>
      <c r="D256" s="19" t="str">
        <f>IF('TECHNOLOGY REGISTER'!D53="","",'TECHNOLOGY REGISTER'!D53)</f>
        <v/>
      </c>
      <c r="E256" s="18"/>
      <c r="F256" s="32" t="str">
        <f t="shared" si="1"/>
        <v/>
      </c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</row>
    <row r="257" spans="2:52" ht="15" customHeight="1" x14ac:dyDescent="0.45">
      <c r="B257" s="8" t="s">
        <v>134</v>
      </c>
      <c r="C257" s="30" t="s">
        <v>5</v>
      </c>
      <c r="D257" s="17" t="str">
        <f>IF('TECHNOLOGY REGISTER'!D54="","",'TECHNOLOGY REGISTER'!D54)</f>
        <v/>
      </c>
      <c r="E257" s="16"/>
      <c r="F257" s="24" t="str">
        <f t="shared" si="1"/>
        <v/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</row>
    <row r="258" spans="2:52" ht="15" customHeight="1" x14ac:dyDescent="0.45">
      <c r="B258" s="33" t="s">
        <v>134</v>
      </c>
      <c r="C258" s="29" t="s">
        <v>5</v>
      </c>
      <c r="D258" s="19" t="str">
        <f>IF('TECHNOLOGY REGISTER'!D55="","",'TECHNOLOGY REGISTER'!D55)</f>
        <v/>
      </c>
      <c r="E258" s="18"/>
      <c r="F258" s="32" t="str">
        <f t="shared" si="1"/>
        <v/>
      </c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</row>
    <row r="259" spans="2:52" ht="15" customHeight="1" thickBot="1" x14ac:dyDescent="0.5">
      <c r="B259" s="8" t="s">
        <v>134</v>
      </c>
      <c r="C259" s="30" t="s">
        <v>5</v>
      </c>
      <c r="D259" s="17" t="str">
        <f>IF('TECHNOLOGY REGISTER'!D56="","",'TECHNOLOGY REGISTER'!D56)</f>
        <v/>
      </c>
      <c r="E259" s="16"/>
      <c r="F259" s="24" t="str">
        <f t="shared" si="1"/>
        <v/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</row>
    <row r="260" spans="2:52" customFormat="1" ht="20" customHeight="1" x14ac:dyDescent="0.5">
      <c r="B260" s="69" t="s">
        <v>149</v>
      </c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</row>
    <row r="261" spans="2:52" ht="17" customHeight="1" x14ac:dyDescent="0.45">
      <c r="B261" s="33" t="s">
        <v>135</v>
      </c>
      <c r="C261" s="29" t="s">
        <v>5</v>
      </c>
      <c r="D261" s="19" t="str">
        <f>IF('TECHNOLOGY REGISTER'!D7="","",'TECHNOLOGY REGISTER'!D7)</f>
        <v>Biomass</v>
      </c>
      <c r="E261" s="32"/>
      <c r="F261" s="32" t="s">
        <v>99</v>
      </c>
      <c r="G261" s="36">
        <v>0</v>
      </c>
      <c r="H261" s="36">
        <v>0</v>
      </c>
      <c r="I261" s="36">
        <v>0</v>
      </c>
      <c r="J261" s="36">
        <v>0</v>
      </c>
      <c r="K261" s="36">
        <v>0</v>
      </c>
      <c r="L261" s="36">
        <v>0</v>
      </c>
      <c r="M261" s="36">
        <v>0</v>
      </c>
      <c r="N261" s="36">
        <v>0</v>
      </c>
      <c r="O261" s="36">
        <v>0</v>
      </c>
      <c r="P261" s="36">
        <v>0</v>
      </c>
      <c r="Q261" s="36">
        <v>0</v>
      </c>
      <c r="R261" s="36">
        <v>0</v>
      </c>
      <c r="S261" s="36">
        <v>0</v>
      </c>
      <c r="T261" s="36">
        <v>0</v>
      </c>
      <c r="U261" s="36">
        <v>0</v>
      </c>
      <c r="V261" s="36">
        <v>0</v>
      </c>
      <c r="W261" s="36">
        <v>0</v>
      </c>
      <c r="X261" s="36">
        <v>0</v>
      </c>
      <c r="Y261" s="36">
        <v>0</v>
      </c>
      <c r="Z261" s="36">
        <v>0</v>
      </c>
      <c r="AA261" s="36">
        <v>0</v>
      </c>
      <c r="AB261" s="36">
        <v>0</v>
      </c>
      <c r="AC261" s="36">
        <v>0</v>
      </c>
      <c r="AD261" s="36">
        <v>0</v>
      </c>
      <c r="AE261" s="36">
        <v>0</v>
      </c>
      <c r="AF261" s="36">
        <v>0</v>
      </c>
      <c r="AG261" s="36">
        <v>0</v>
      </c>
      <c r="AH261" s="36">
        <v>0</v>
      </c>
      <c r="AI261" s="36">
        <v>0</v>
      </c>
      <c r="AJ261" s="36">
        <v>0</v>
      </c>
      <c r="AK261" s="36">
        <v>0</v>
      </c>
      <c r="AL261" s="36">
        <v>0</v>
      </c>
      <c r="AM261" s="36">
        <v>0</v>
      </c>
      <c r="AN261" s="36">
        <v>0</v>
      </c>
      <c r="AO261" s="36">
        <v>0</v>
      </c>
      <c r="AP261" s="36">
        <v>0</v>
      </c>
      <c r="AQ261" s="36">
        <v>0</v>
      </c>
      <c r="AR261" s="36">
        <v>0</v>
      </c>
      <c r="AS261" s="36">
        <v>0</v>
      </c>
      <c r="AT261" s="36">
        <v>0</v>
      </c>
      <c r="AU261" s="36">
        <v>0</v>
      </c>
      <c r="AV261" s="36">
        <v>0</v>
      </c>
      <c r="AW261" s="36">
        <v>0</v>
      </c>
      <c r="AX261" s="36">
        <v>0</v>
      </c>
      <c r="AY261" s="36">
        <v>0</v>
      </c>
      <c r="AZ261" s="36">
        <v>0</v>
      </c>
    </row>
    <row r="262" spans="2:52" ht="17" customHeight="1" x14ac:dyDescent="0.45">
      <c r="B262" s="8" t="s">
        <v>135</v>
      </c>
      <c r="C262" s="30" t="s">
        <v>5</v>
      </c>
      <c r="D262" s="17" t="str">
        <f>IF('TECHNOLOGY REGISTER'!D8="","",'TECHNOLOGY REGISTER'!D8)</f>
        <v>Geothermal</v>
      </c>
      <c r="E262" s="24"/>
      <c r="F262" s="24" t="s">
        <v>99</v>
      </c>
      <c r="G262" s="37">
        <v>976.41319484077167</v>
      </c>
      <c r="H262" s="37">
        <v>947.3448464787125</v>
      </c>
      <c r="I262" s="37">
        <v>1012.386394247232</v>
      </c>
      <c r="J262" s="37">
        <v>1082.6066887341626</v>
      </c>
      <c r="K262" s="37">
        <v>1328.465494806529</v>
      </c>
      <c r="L262" s="37">
        <v>1323.8878666818855</v>
      </c>
      <c r="M262" s="37">
        <v>1452.0399041205342</v>
      </c>
      <c r="N262" s="37">
        <v>1452.2722976829127</v>
      </c>
      <c r="O262" s="37">
        <v>1478.604908115512</v>
      </c>
      <c r="P262" s="37">
        <v>1612.4623444812237</v>
      </c>
      <c r="Q262" s="37">
        <v>1505.3331811437049</v>
      </c>
      <c r="R262" s="37">
        <v>1521.3977856409083</v>
      </c>
      <c r="S262" s="37">
        <v>1625.9918959022939</v>
      </c>
      <c r="T262" s="37">
        <v>1748.8774112544227</v>
      </c>
      <c r="U262" s="37">
        <v>1985.8709051478138</v>
      </c>
      <c r="V262" s="37">
        <v>2207.6749229540005</v>
      </c>
      <c r="W262" s="37">
        <v>2402.7995662595595</v>
      </c>
      <c r="X262" s="37">
        <v>2399.9029791119742</v>
      </c>
      <c r="Y262" s="37">
        <v>2359.4018947608724</v>
      </c>
      <c r="Z262" s="37">
        <v>2438.3997260586693</v>
      </c>
      <c r="AA262" s="37">
        <v>2422.6001597991099</v>
      </c>
      <c r="AB262" s="37">
        <v>2417.4214130806986</v>
      </c>
      <c r="AC262" s="37">
        <v>2457.7103070425751</v>
      </c>
      <c r="AD262" s="37">
        <v>2501.5979910969068</v>
      </c>
      <c r="AE262" s="37">
        <v>2387.4022371875358</v>
      </c>
      <c r="AF262" s="37">
        <v>2548.1189361944985</v>
      </c>
      <c r="AG262" s="37">
        <v>2609.4739185024541</v>
      </c>
      <c r="AH262" s="37">
        <v>2728.0584408172585</v>
      </c>
      <c r="AI262" s="37">
        <v>2859.721492980254</v>
      </c>
      <c r="AJ262" s="37">
        <v>3059.4982307955715</v>
      </c>
      <c r="AK262" s="37">
        <v>3131.8251341171099</v>
      </c>
      <c r="AL262" s="37">
        <v>3191.6879351672183</v>
      </c>
      <c r="AM262" s="37">
        <v>3180.1015865768745</v>
      </c>
      <c r="AN262" s="37">
        <v>3171.324049766009</v>
      </c>
      <c r="AO262" s="37">
        <v>3155.9633603469929</v>
      </c>
      <c r="AP262" s="37">
        <v>2914.4055473119506</v>
      </c>
      <c r="AQ262" s="37">
        <v>2963.1208766122586</v>
      </c>
      <c r="AR262" s="37">
        <v>3114.270060495377</v>
      </c>
      <c r="AS262" s="37">
        <v>3254.7106494692384</v>
      </c>
      <c r="AT262" s="37">
        <v>3500.4816801734955</v>
      </c>
      <c r="AU262" s="37">
        <v>3880.285697979682</v>
      </c>
      <c r="AV262" s="37">
        <v>4066.6328044743746</v>
      </c>
      <c r="AW262" s="37">
        <v>4119.2980253395726</v>
      </c>
      <c r="AX262" s="37">
        <v>4163.1857093939043</v>
      </c>
      <c r="AY262" s="37">
        <v>4198.2958566373709</v>
      </c>
      <c r="AZ262" s="37">
        <v>4178.1075219723771</v>
      </c>
    </row>
    <row r="263" spans="2:52" ht="17" customHeight="1" x14ac:dyDescent="0.45">
      <c r="B263" s="33" t="s">
        <v>135</v>
      </c>
      <c r="C263" s="29" t="s">
        <v>5</v>
      </c>
      <c r="D263" s="19" t="str">
        <f>IF('TECHNOLOGY REGISTER'!D9="","",'TECHNOLOGY REGISTER'!D9)</f>
        <v>Solar PV</v>
      </c>
      <c r="E263" s="32"/>
      <c r="F263" s="32" t="s">
        <v>99</v>
      </c>
      <c r="G263" s="36">
        <v>0</v>
      </c>
      <c r="H263" s="36">
        <v>0</v>
      </c>
      <c r="I263" s="36">
        <v>0</v>
      </c>
      <c r="J263" s="36">
        <v>0</v>
      </c>
      <c r="K263" s="36">
        <v>0</v>
      </c>
      <c r="L263" s="36">
        <v>0</v>
      </c>
      <c r="M263" s="36">
        <v>0</v>
      </c>
      <c r="N263" s="36">
        <v>0</v>
      </c>
      <c r="O263" s="36">
        <v>0</v>
      </c>
      <c r="P263" s="36">
        <v>0</v>
      </c>
      <c r="Q263" s="36">
        <v>0</v>
      </c>
      <c r="R263" s="36">
        <v>0</v>
      </c>
      <c r="S263" s="36">
        <v>0</v>
      </c>
      <c r="T263" s="36">
        <v>0</v>
      </c>
      <c r="U263" s="36">
        <v>0</v>
      </c>
      <c r="V263" s="36">
        <v>0</v>
      </c>
      <c r="W263" s="36">
        <v>0</v>
      </c>
      <c r="X263" s="36">
        <v>0</v>
      </c>
      <c r="Y263" s="36">
        <v>0</v>
      </c>
      <c r="Z263" s="36">
        <v>0</v>
      </c>
      <c r="AA263" s="36">
        <v>0</v>
      </c>
      <c r="AB263" s="36">
        <v>0</v>
      </c>
      <c r="AC263" s="36">
        <v>0</v>
      </c>
      <c r="AD263" s="36">
        <v>0</v>
      </c>
      <c r="AE263" s="36">
        <v>0</v>
      </c>
      <c r="AF263" s="36">
        <v>0</v>
      </c>
      <c r="AG263" s="36">
        <v>0</v>
      </c>
      <c r="AH263" s="36">
        <v>0</v>
      </c>
      <c r="AI263" s="36">
        <v>0</v>
      </c>
      <c r="AJ263" s="36">
        <v>0</v>
      </c>
      <c r="AK263" s="36">
        <v>0</v>
      </c>
      <c r="AL263" s="36">
        <v>0</v>
      </c>
      <c r="AM263" s="36">
        <v>0</v>
      </c>
      <c r="AN263" s="36">
        <v>0</v>
      </c>
      <c r="AO263" s="36">
        <v>0</v>
      </c>
      <c r="AP263" s="36">
        <v>0</v>
      </c>
      <c r="AQ263" s="36">
        <v>0</v>
      </c>
      <c r="AR263" s="36">
        <v>0</v>
      </c>
      <c r="AS263" s="36">
        <v>0</v>
      </c>
      <c r="AT263" s="36">
        <v>0</v>
      </c>
      <c r="AU263" s="36">
        <v>0</v>
      </c>
      <c r="AV263" s="36">
        <v>0</v>
      </c>
      <c r="AW263" s="36">
        <v>0</v>
      </c>
      <c r="AX263" s="36">
        <v>0</v>
      </c>
      <c r="AY263" s="36">
        <v>0</v>
      </c>
      <c r="AZ263" s="36">
        <v>0</v>
      </c>
    </row>
    <row r="264" spans="2:52" ht="17" customHeight="1" x14ac:dyDescent="0.45">
      <c r="B264" s="8" t="s">
        <v>135</v>
      </c>
      <c r="C264" s="30" t="s">
        <v>5</v>
      </c>
      <c r="D264" s="17" t="str">
        <f>IF('TECHNOLOGY REGISTER'!D10="","",'TECHNOLOGY REGISTER'!D10)</f>
        <v>CSP</v>
      </c>
      <c r="E264" s="24"/>
      <c r="F264" s="24" t="s">
        <v>99</v>
      </c>
      <c r="G264" s="37">
        <v>785.5</v>
      </c>
      <c r="H264" s="37">
        <v>123.5</v>
      </c>
      <c r="I264" s="37">
        <v>123.5</v>
      </c>
      <c r="J264" s="37">
        <v>63.5</v>
      </c>
      <c r="K264" s="37">
        <v>63.5</v>
      </c>
      <c r="L264" s="37">
        <v>63.5</v>
      </c>
      <c r="M264" s="37">
        <v>43.5</v>
      </c>
      <c r="N264" s="37">
        <v>43.5</v>
      </c>
      <c r="O264" s="37">
        <v>23.5</v>
      </c>
      <c r="P264" s="37">
        <v>0</v>
      </c>
      <c r="Q264" s="37">
        <v>0</v>
      </c>
      <c r="R264" s="37">
        <v>0</v>
      </c>
      <c r="S264" s="37">
        <v>0</v>
      </c>
      <c r="T264" s="37">
        <v>0</v>
      </c>
      <c r="U264" s="37">
        <v>0</v>
      </c>
      <c r="V264" s="37">
        <v>0</v>
      </c>
      <c r="W264" s="37">
        <v>0</v>
      </c>
      <c r="X264" s="37">
        <v>0</v>
      </c>
      <c r="Y264" s="37">
        <v>0</v>
      </c>
      <c r="Z264" s="37">
        <v>0</v>
      </c>
      <c r="AA264" s="37">
        <v>0</v>
      </c>
      <c r="AB264" s="37">
        <v>0</v>
      </c>
      <c r="AC264" s="37">
        <v>0</v>
      </c>
      <c r="AD264" s="37">
        <v>0</v>
      </c>
      <c r="AE264" s="37">
        <v>0</v>
      </c>
      <c r="AF264" s="37">
        <v>0</v>
      </c>
      <c r="AG264" s="37">
        <v>0</v>
      </c>
      <c r="AH264" s="37">
        <v>0</v>
      </c>
      <c r="AI264" s="37">
        <v>0</v>
      </c>
      <c r="AJ264" s="37">
        <v>0</v>
      </c>
      <c r="AK264" s="37">
        <v>0</v>
      </c>
      <c r="AL264" s="37">
        <v>0</v>
      </c>
      <c r="AM264" s="37">
        <v>0</v>
      </c>
      <c r="AN264" s="37">
        <v>0</v>
      </c>
      <c r="AO264" s="37">
        <v>0</v>
      </c>
      <c r="AP264" s="37">
        <v>0</v>
      </c>
      <c r="AQ264" s="37">
        <v>0</v>
      </c>
      <c r="AR264" s="37">
        <v>0</v>
      </c>
      <c r="AS264" s="37">
        <v>0</v>
      </c>
      <c r="AT264" s="37">
        <v>0</v>
      </c>
      <c r="AU264" s="37">
        <v>0</v>
      </c>
      <c r="AV264" s="37">
        <v>0</v>
      </c>
      <c r="AW264" s="37">
        <v>0</v>
      </c>
      <c r="AX264" s="37">
        <v>0</v>
      </c>
      <c r="AY264" s="37">
        <v>0</v>
      </c>
      <c r="AZ264" s="37">
        <v>0</v>
      </c>
    </row>
    <row r="265" spans="2:52" ht="17" customHeight="1" x14ac:dyDescent="0.45">
      <c r="B265" s="33" t="s">
        <v>135</v>
      </c>
      <c r="C265" s="29" t="s">
        <v>5</v>
      </c>
      <c r="D265" s="19" t="str">
        <f>IF('TECHNOLOGY REGISTER'!D11="","",'TECHNOLOGY REGISTER'!D11)</f>
        <v>Hydropower</v>
      </c>
      <c r="E265" s="32"/>
      <c r="F265" s="32" t="s">
        <v>99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  <c r="M265" s="36">
        <v>0</v>
      </c>
      <c r="N265" s="36">
        <v>0</v>
      </c>
      <c r="O265" s="36">
        <v>0</v>
      </c>
      <c r="P265" s="36">
        <v>0</v>
      </c>
      <c r="Q265" s="36">
        <v>0</v>
      </c>
      <c r="R265" s="36">
        <v>0</v>
      </c>
      <c r="S265" s="36">
        <v>0</v>
      </c>
      <c r="T265" s="36">
        <v>0</v>
      </c>
      <c r="U265" s="36">
        <v>0</v>
      </c>
      <c r="V265" s="36">
        <v>0</v>
      </c>
      <c r="W265" s="36">
        <v>0</v>
      </c>
      <c r="X265" s="36">
        <v>0</v>
      </c>
      <c r="Y265" s="36">
        <v>0</v>
      </c>
      <c r="Z265" s="36">
        <v>0</v>
      </c>
      <c r="AA265" s="36">
        <v>0</v>
      </c>
      <c r="AB265" s="36">
        <v>0</v>
      </c>
      <c r="AC265" s="36">
        <v>0</v>
      </c>
      <c r="AD265" s="36">
        <v>0</v>
      </c>
      <c r="AE265" s="36">
        <v>0</v>
      </c>
      <c r="AF265" s="36">
        <v>0</v>
      </c>
      <c r="AG265" s="36">
        <v>0</v>
      </c>
      <c r="AH265" s="36">
        <v>0</v>
      </c>
      <c r="AI265" s="36">
        <v>0</v>
      </c>
      <c r="AJ265" s="36">
        <v>0</v>
      </c>
      <c r="AK265" s="36">
        <v>0</v>
      </c>
      <c r="AL265" s="36">
        <v>0</v>
      </c>
      <c r="AM265" s="36">
        <v>0</v>
      </c>
      <c r="AN265" s="36">
        <v>0</v>
      </c>
      <c r="AO265" s="36">
        <v>0</v>
      </c>
      <c r="AP265" s="36">
        <v>0</v>
      </c>
      <c r="AQ265" s="36">
        <v>0</v>
      </c>
      <c r="AR265" s="36">
        <v>0</v>
      </c>
      <c r="AS265" s="36">
        <v>0</v>
      </c>
      <c r="AT265" s="36">
        <v>0</v>
      </c>
      <c r="AU265" s="36">
        <v>0</v>
      </c>
      <c r="AV265" s="36">
        <v>0</v>
      </c>
      <c r="AW265" s="36">
        <v>0</v>
      </c>
      <c r="AX265" s="36">
        <v>0</v>
      </c>
      <c r="AY265" s="36">
        <v>0</v>
      </c>
      <c r="AZ265" s="36">
        <v>0</v>
      </c>
    </row>
    <row r="266" spans="2:52" ht="17" customHeight="1" x14ac:dyDescent="0.45">
      <c r="B266" s="8" t="s">
        <v>135</v>
      </c>
      <c r="C266" s="30" t="s">
        <v>5</v>
      </c>
      <c r="D266" s="17" t="str">
        <f>IF('TECHNOLOGY REGISTER'!D12="","",'TECHNOLOGY REGISTER'!D12)</f>
        <v>Nuclear</v>
      </c>
      <c r="E266" s="24"/>
      <c r="F266" s="24" t="s">
        <v>99</v>
      </c>
      <c r="G266" s="37">
        <v>0</v>
      </c>
      <c r="H266" s="37">
        <v>0</v>
      </c>
      <c r="I266" s="37">
        <v>0</v>
      </c>
      <c r="J266" s="37">
        <v>0</v>
      </c>
      <c r="K266" s="37">
        <v>0</v>
      </c>
      <c r="L266" s="37">
        <v>0</v>
      </c>
      <c r="M266" s="37">
        <v>0</v>
      </c>
      <c r="N266" s="37">
        <v>0</v>
      </c>
      <c r="O266" s="37">
        <v>0</v>
      </c>
      <c r="P266" s="37">
        <v>0</v>
      </c>
      <c r="Q266" s="37">
        <v>0</v>
      </c>
      <c r="R266" s="37">
        <v>0</v>
      </c>
      <c r="S266" s="37">
        <v>0</v>
      </c>
      <c r="T266" s="37">
        <v>0</v>
      </c>
      <c r="U266" s="37">
        <v>0</v>
      </c>
      <c r="V266" s="37">
        <v>0</v>
      </c>
      <c r="W266" s="37">
        <v>0</v>
      </c>
      <c r="X266" s="37">
        <v>0</v>
      </c>
      <c r="Y266" s="37">
        <v>0</v>
      </c>
      <c r="Z266" s="37">
        <v>0</v>
      </c>
      <c r="AA266" s="37">
        <v>0</v>
      </c>
      <c r="AB266" s="37">
        <v>0</v>
      </c>
      <c r="AC266" s="37">
        <v>0</v>
      </c>
      <c r="AD266" s="37">
        <v>0</v>
      </c>
      <c r="AE266" s="37">
        <v>0</v>
      </c>
      <c r="AF266" s="37">
        <v>0</v>
      </c>
      <c r="AG266" s="37">
        <v>0</v>
      </c>
      <c r="AH266" s="37">
        <v>0</v>
      </c>
      <c r="AI266" s="37">
        <v>0</v>
      </c>
      <c r="AJ266" s="37">
        <v>0</v>
      </c>
      <c r="AK266" s="37">
        <v>0</v>
      </c>
      <c r="AL266" s="37">
        <v>0</v>
      </c>
      <c r="AM266" s="37">
        <v>0</v>
      </c>
      <c r="AN266" s="37">
        <v>0</v>
      </c>
      <c r="AO266" s="37">
        <v>0</v>
      </c>
      <c r="AP266" s="37">
        <v>0</v>
      </c>
      <c r="AQ266" s="37">
        <v>0</v>
      </c>
      <c r="AR266" s="37">
        <v>0</v>
      </c>
      <c r="AS266" s="37">
        <v>0</v>
      </c>
      <c r="AT266" s="37">
        <v>0</v>
      </c>
      <c r="AU266" s="37">
        <v>0</v>
      </c>
      <c r="AV266" s="37">
        <v>0</v>
      </c>
      <c r="AW266" s="37">
        <v>0</v>
      </c>
      <c r="AX266" s="37">
        <v>0</v>
      </c>
      <c r="AY266" s="37">
        <v>0</v>
      </c>
      <c r="AZ266" s="37">
        <v>0</v>
      </c>
    </row>
    <row r="267" spans="2:52" ht="17" customHeight="1" x14ac:dyDescent="0.45">
      <c r="B267" s="33" t="s">
        <v>135</v>
      </c>
      <c r="C267" s="29" t="s">
        <v>5</v>
      </c>
      <c r="D267" s="19" t="str">
        <f>IF('TECHNOLOGY REGISTER'!D13="","",'TECHNOLOGY REGISTER'!D13)</f>
        <v>Wind</v>
      </c>
      <c r="E267" s="32"/>
      <c r="F267" s="32" t="s">
        <v>99</v>
      </c>
      <c r="G267" s="36">
        <v>558.40000000000009</v>
      </c>
      <c r="H267" s="36">
        <v>453.90000000000003</v>
      </c>
      <c r="I267" s="36">
        <v>453.90000000000003</v>
      </c>
      <c r="J267" s="36">
        <v>453.90000000000003</v>
      </c>
      <c r="K267" s="36">
        <v>453.90000000000003</v>
      </c>
      <c r="L267" s="36">
        <v>365.3</v>
      </c>
      <c r="M267" s="36">
        <v>365.3</v>
      </c>
      <c r="N267" s="36">
        <v>250.3</v>
      </c>
      <c r="O267" s="36">
        <v>250.3</v>
      </c>
      <c r="P267" s="36">
        <v>163.30000000000001</v>
      </c>
      <c r="Q267" s="36">
        <v>83</v>
      </c>
      <c r="R267" s="36">
        <v>0</v>
      </c>
      <c r="S267" s="36">
        <v>0</v>
      </c>
      <c r="T267" s="36">
        <v>0</v>
      </c>
      <c r="U267" s="36">
        <v>0</v>
      </c>
      <c r="V267" s="36">
        <v>0</v>
      </c>
      <c r="W267" s="36">
        <v>0</v>
      </c>
      <c r="X267" s="36">
        <v>0</v>
      </c>
      <c r="Y267" s="36">
        <v>0</v>
      </c>
      <c r="Z267" s="36">
        <v>0</v>
      </c>
      <c r="AA267" s="36">
        <v>0</v>
      </c>
      <c r="AB267" s="36">
        <v>0</v>
      </c>
      <c r="AC267" s="36">
        <v>0</v>
      </c>
      <c r="AD267" s="36">
        <v>0</v>
      </c>
      <c r="AE267" s="36">
        <v>0</v>
      </c>
      <c r="AF267" s="36">
        <v>0</v>
      </c>
      <c r="AG267" s="36">
        <v>0</v>
      </c>
      <c r="AH267" s="36">
        <v>0</v>
      </c>
      <c r="AI267" s="36">
        <v>0</v>
      </c>
      <c r="AJ267" s="36">
        <v>0</v>
      </c>
      <c r="AK267" s="36">
        <v>0</v>
      </c>
      <c r="AL267" s="36">
        <v>0</v>
      </c>
      <c r="AM267" s="36">
        <v>0</v>
      </c>
      <c r="AN267" s="36">
        <v>0</v>
      </c>
      <c r="AO267" s="36">
        <v>0</v>
      </c>
      <c r="AP267" s="36">
        <v>0</v>
      </c>
      <c r="AQ267" s="36">
        <v>0</v>
      </c>
      <c r="AR267" s="36">
        <v>0</v>
      </c>
      <c r="AS267" s="36">
        <v>0</v>
      </c>
      <c r="AT267" s="36">
        <v>0</v>
      </c>
      <c r="AU267" s="36">
        <v>0</v>
      </c>
      <c r="AV267" s="36">
        <v>0</v>
      </c>
      <c r="AW267" s="36">
        <v>0</v>
      </c>
      <c r="AX267" s="36">
        <v>0</v>
      </c>
      <c r="AY267" s="36">
        <v>0</v>
      </c>
      <c r="AZ267" s="36">
        <v>0</v>
      </c>
    </row>
    <row r="268" spans="2:52" ht="17" customHeight="1" x14ac:dyDescent="0.45">
      <c r="B268" s="8" t="s">
        <v>135</v>
      </c>
      <c r="C268" s="30" t="s">
        <v>5</v>
      </c>
      <c r="D268" s="17" t="str">
        <f>IF('TECHNOLOGY REGISTER'!D14="","",'TECHNOLOGY REGISTER'!D14)</f>
        <v>Coal</v>
      </c>
      <c r="E268" s="24"/>
      <c r="F268" s="24" t="s">
        <v>99</v>
      </c>
      <c r="G268" s="37">
        <v>0</v>
      </c>
      <c r="H268" s="37">
        <v>0</v>
      </c>
      <c r="I268" s="37">
        <v>96.799999999999969</v>
      </c>
      <c r="J268" s="37">
        <v>119.99999999999997</v>
      </c>
      <c r="K268" s="37">
        <v>119.99999999999997</v>
      </c>
      <c r="L268" s="37">
        <v>187.99999999999994</v>
      </c>
      <c r="M268" s="37">
        <v>187.99999999999994</v>
      </c>
      <c r="N268" s="37">
        <v>187.99999999999994</v>
      </c>
      <c r="O268" s="37">
        <v>187.99999999999994</v>
      </c>
      <c r="P268" s="37">
        <v>187.99999999999994</v>
      </c>
      <c r="Q268" s="37">
        <v>187.99999999999994</v>
      </c>
      <c r="R268" s="37">
        <v>187.99999999999994</v>
      </c>
      <c r="S268" s="37">
        <v>187.99999999999994</v>
      </c>
      <c r="T268" s="37">
        <v>187.99999999999994</v>
      </c>
      <c r="U268" s="37">
        <v>187.99999999999994</v>
      </c>
      <c r="V268" s="37">
        <v>187.99999999999994</v>
      </c>
      <c r="W268" s="37">
        <v>187.99999999999994</v>
      </c>
      <c r="X268" s="37">
        <v>187.99999999999994</v>
      </c>
      <c r="Y268" s="37">
        <v>187.99999999999994</v>
      </c>
      <c r="Z268" s="37">
        <v>187.99999999999994</v>
      </c>
      <c r="AA268" s="37">
        <v>187.99999999999994</v>
      </c>
      <c r="AB268" s="37">
        <v>187.99999999999994</v>
      </c>
      <c r="AC268" s="37">
        <v>91.199999999999989</v>
      </c>
      <c r="AD268" s="37">
        <v>67.999999999999986</v>
      </c>
      <c r="AE268" s="37">
        <v>67.999999999999986</v>
      </c>
      <c r="AF268" s="37">
        <v>0</v>
      </c>
      <c r="AG268" s="37">
        <v>0</v>
      </c>
      <c r="AH268" s="37">
        <v>0</v>
      </c>
      <c r="AI268" s="37">
        <v>0</v>
      </c>
      <c r="AJ268" s="37">
        <v>0</v>
      </c>
      <c r="AK268" s="37">
        <v>0</v>
      </c>
      <c r="AL268" s="37">
        <v>0</v>
      </c>
      <c r="AM268" s="37">
        <v>0</v>
      </c>
      <c r="AN268" s="37">
        <v>0</v>
      </c>
      <c r="AO268" s="37">
        <v>0</v>
      </c>
      <c r="AP268" s="37">
        <v>0</v>
      </c>
      <c r="AQ268" s="37">
        <v>0</v>
      </c>
      <c r="AR268" s="37">
        <v>0</v>
      </c>
      <c r="AS268" s="37">
        <v>0</v>
      </c>
      <c r="AT268" s="37">
        <v>0</v>
      </c>
      <c r="AU268" s="37">
        <v>0</v>
      </c>
      <c r="AV268" s="37">
        <v>0</v>
      </c>
      <c r="AW268" s="37">
        <v>0</v>
      </c>
      <c r="AX268" s="37">
        <v>0</v>
      </c>
      <c r="AY268" s="37">
        <v>0</v>
      </c>
      <c r="AZ268" s="37">
        <v>0</v>
      </c>
    </row>
    <row r="269" spans="2:52" ht="17" customHeight="1" x14ac:dyDescent="0.45">
      <c r="B269" s="33" t="s">
        <v>135</v>
      </c>
      <c r="C269" s="29" t="s">
        <v>5</v>
      </c>
      <c r="D269" s="19" t="str">
        <f>IF('TECHNOLOGY REGISTER'!D15="","",'TECHNOLOGY REGISTER'!D15)</f>
        <v>Oil</v>
      </c>
      <c r="E269" s="32"/>
      <c r="F269" s="32" t="s">
        <v>99</v>
      </c>
      <c r="G269" s="36">
        <v>0</v>
      </c>
      <c r="H269" s="36">
        <v>0</v>
      </c>
      <c r="I269" s="36">
        <v>0</v>
      </c>
      <c r="J269" s="36">
        <v>0</v>
      </c>
      <c r="K269" s="36">
        <v>0</v>
      </c>
      <c r="L269" s="36">
        <v>0</v>
      </c>
      <c r="M269" s="36">
        <v>0</v>
      </c>
      <c r="N269" s="36">
        <v>0</v>
      </c>
      <c r="O269" s="36">
        <v>0</v>
      </c>
      <c r="P269" s="36">
        <v>0</v>
      </c>
      <c r="Q269" s="36">
        <v>0</v>
      </c>
      <c r="R269" s="36">
        <v>0</v>
      </c>
      <c r="S269" s="36">
        <v>0</v>
      </c>
      <c r="T269" s="36">
        <v>0</v>
      </c>
      <c r="U269" s="36">
        <v>0</v>
      </c>
      <c r="V269" s="36">
        <v>0</v>
      </c>
      <c r="W269" s="36">
        <v>0</v>
      </c>
      <c r="X269" s="36">
        <v>0</v>
      </c>
      <c r="Y269" s="36">
        <v>0</v>
      </c>
      <c r="Z269" s="36">
        <v>0</v>
      </c>
      <c r="AA269" s="36">
        <v>0</v>
      </c>
      <c r="AB269" s="36">
        <v>0</v>
      </c>
      <c r="AC269" s="36">
        <v>0</v>
      </c>
      <c r="AD269" s="36">
        <v>0</v>
      </c>
      <c r="AE269" s="36">
        <v>0</v>
      </c>
      <c r="AF269" s="36">
        <v>0</v>
      </c>
      <c r="AG269" s="36">
        <v>0</v>
      </c>
      <c r="AH269" s="36">
        <v>0</v>
      </c>
      <c r="AI269" s="36">
        <v>0</v>
      </c>
      <c r="AJ269" s="36">
        <v>0</v>
      </c>
      <c r="AK269" s="36">
        <v>0</v>
      </c>
      <c r="AL269" s="36">
        <v>0</v>
      </c>
      <c r="AM269" s="36">
        <v>0</v>
      </c>
      <c r="AN269" s="36">
        <v>0</v>
      </c>
      <c r="AO269" s="36">
        <v>0</v>
      </c>
      <c r="AP269" s="36">
        <v>0</v>
      </c>
      <c r="AQ269" s="36">
        <v>0</v>
      </c>
      <c r="AR269" s="36">
        <v>0</v>
      </c>
      <c r="AS269" s="36">
        <v>0</v>
      </c>
      <c r="AT269" s="36">
        <v>0</v>
      </c>
      <c r="AU269" s="36">
        <v>0</v>
      </c>
      <c r="AV269" s="36">
        <v>0</v>
      </c>
      <c r="AW269" s="36">
        <v>0</v>
      </c>
      <c r="AX269" s="36">
        <v>0</v>
      </c>
      <c r="AY269" s="36">
        <v>0</v>
      </c>
      <c r="AZ269" s="36">
        <v>0</v>
      </c>
    </row>
    <row r="270" spans="2:52" ht="17" customHeight="1" x14ac:dyDescent="0.45">
      <c r="B270" s="8" t="s">
        <v>135</v>
      </c>
      <c r="C270" s="30" t="s">
        <v>5</v>
      </c>
      <c r="D270" s="17" t="str">
        <f>IF('TECHNOLOGY REGISTER'!D16="","",'TECHNOLOGY REGISTER'!D16)</f>
        <v>Gas</v>
      </c>
      <c r="E270" s="24"/>
      <c r="F270" s="24" t="s">
        <v>99</v>
      </c>
      <c r="G270" s="37">
        <v>0</v>
      </c>
      <c r="H270" s="37">
        <v>0</v>
      </c>
      <c r="I270" s="37">
        <v>0</v>
      </c>
      <c r="J270" s="37">
        <v>0</v>
      </c>
      <c r="K270" s="37">
        <v>0</v>
      </c>
      <c r="L270" s="37">
        <v>0</v>
      </c>
      <c r="M270" s="37">
        <v>0</v>
      </c>
      <c r="N270" s="37">
        <v>0</v>
      </c>
      <c r="O270" s="37">
        <v>0</v>
      </c>
      <c r="P270" s="37">
        <v>0</v>
      </c>
      <c r="Q270" s="37">
        <v>0</v>
      </c>
      <c r="R270" s="37">
        <v>0</v>
      </c>
      <c r="S270" s="37">
        <v>0</v>
      </c>
      <c r="T270" s="37">
        <v>0</v>
      </c>
      <c r="U270" s="37">
        <v>0</v>
      </c>
      <c r="V270" s="37">
        <v>0</v>
      </c>
      <c r="W270" s="37">
        <v>0</v>
      </c>
      <c r="X270" s="37">
        <v>0</v>
      </c>
      <c r="Y270" s="37">
        <v>0</v>
      </c>
      <c r="Z270" s="37">
        <v>0</v>
      </c>
      <c r="AA270" s="37">
        <v>0</v>
      </c>
      <c r="AB270" s="37">
        <v>0</v>
      </c>
      <c r="AC270" s="37">
        <v>0</v>
      </c>
      <c r="AD270" s="37">
        <v>0</v>
      </c>
      <c r="AE270" s="37">
        <v>0</v>
      </c>
      <c r="AF270" s="37">
        <v>0</v>
      </c>
      <c r="AG270" s="37">
        <v>0</v>
      </c>
      <c r="AH270" s="37">
        <v>0</v>
      </c>
      <c r="AI270" s="37">
        <v>0</v>
      </c>
      <c r="AJ270" s="37">
        <v>0</v>
      </c>
      <c r="AK270" s="37">
        <v>0</v>
      </c>
      <c r="AL270" s="37">
        <v>0</v>
      </c>
      <c r="AM270" s="37">
        <v>0</v>
      </c>
      <c r="AN270" s="37">
        <v>0</v>
      </c>
      <c r="AO270" s="37">
        <v>0</v>
      </c>
      <c r="AP270" s="37">
        <v>0</v>
      </c>
      <c r="AQ270" s="37">
        <v>0</v>
      </c>
      <c r="AR270" s="37">
        <v>0</v>
      </c>
      <c r="AS270" s="37">
        <v>0</v>
      </c>
      <c r="AT270" s="37">
        <v>0</v>
      </c>
      <c r="AU270" s="37">
        <v>0</v>
      </c>
      <c r="AV270" s="37">
        <v>0</v>
      </c>
      <c r="AW270" s="37">
        <v>0</v>
      </c>
      <c r="AX270" s="37">
        <v>0</v>
      </c>
      <c r="AY270" s="37">
        <v>0</v>
      </c>
      <c r="AZ270" s="37">
        <v>0</v>
      </c>
    </row>
    <row r="271" spans="2:52" ht="17" customHeight="1" x14ac:dyDescent="0.45">
      <c r="B271" s="33" t="s">
        <v>135</v>
      </c>
      <c r="C271" s="29" t="s">
        <v>5</v>
      </c>
      <c r="D271" s="19" t="str">
        <f>IF('TECHNOLOGY REGISTER'!D17="","",'TECHNOLOGY REGISTER'!D17)</f>
        <v>Transmission</v>
      </c>
      <c r="E271" s="32"/>
      <c r="F271" s="32" t="s">
        <v>99</v>
      </c>
      <c r="G271" s="36">
        <v>0</v>
      </c>
      <c r="H271" s="36">
        <v>0</v>
      </c>
      <c r="I271" s="36">
        <v>0</v>
      </c>
      <c r="J271" s="36">
        <v>0</v>
      </c>
      <c r="K271" s="36">
        <v>0</v>
      </c>
      <c r="L271" s="36">
        <v>0</v>
      </c>
      <c r="M271" s="36">
        <v>0</v>
      </c>
      <c r="N271" s="36">
        <v>0</v>
      </c>
      <c r="O271" s="36">
        <v>0</v>
      </c>
      <c r="P271" s="36">
        <v>0</v>
      </c>
      <c r="Q271" s="36">
        <v>0</v>
      </c>
      <c r="R271" s="36">
        <v>0</v>
      </c>
      <c r="S271" s="36">
        <v>0</v>
      </c>
      <c r="T271" s="36">
        <v>0</v>
      </c>
      <c r="U271" s="36">
        <v>0</v>
      </c>
      <c r="V271" s="36">
        <v>0</v>
      </c>
      <c r="W271" s="36">
        <v>0</v>
      </c>
      <c r="X271" s="36">
        <v>0</v>
      </c>
      <c r="Y271" s="36">
        <v>0</v>
      </c>
      <c r="Z271" s="36">
        <v>0</v>
      </c>
      <c r="AA271" s="36">
        <v>0</v>
      </c>
      <c r="AB271" s="36">
        <v>0</v>
      </c>
      <c r="AC271" s="36">
        <v>0</v>
      </c>
      <c r="AD271" s="36">
        <v>0</v>
      </c>
      <c r="AE271" s="36">
        <v>0</v>
      </c>
      <c r="AF271" s="36">
        <v>0</v>
      </c>
      <c r="AG271" s="36">
        <v>0</v>
      </c>
      <c r="AH271" s="36">
        <v>0</v>
      </c>
      <c r="AI271" s="36">
        <v>0</v>
      </c>
      <c r="AJ271" s="36">
        <v>0</v>
      </c>
      <c r="AK271" s="36">
        <v>0</v>
      </c>
      <c r="AL271" s="36">
        <v>0</v>
      </c>
      <c r="AM271" s="36">
        <v>0</v>
      </c>
      <c r="AN271" s="36">
        <v>0</v>
      </c>
      <c r="AO271" s="36">
        <v>0</v>
      </c>
      <c r="AP271" s="36">
        <v>0</v>
      </c>
      <c r="AQ271" s="36">
        <v>0</v>
      </c>
      <c r="AR271" s="36">
        <v>0</v>
      </c>
      <c r="AS271" s="36">
        <v>0</v>
      </c>
      <c r="AT271" s="36">
        <v>0</v>
      </c>
      <c r="AU271" s="36">
        <v>0</v>
      </c>
      <c r="AV271" s="36">
        <v>0</v>
      </c>
      <c r="AW271" s="36">
        <v>0</v>
      </c>
      <c r="AX271" s="36">
        <v>0</v>
      </c>
      <c r="AY271" s="36">
        <v>0</v>
      </c>
      <c r="AZ271" s="36">
        <v>0</v>
      </c>
    </row>
    <row r="272" spans="2:52" ht="17" customHeight="1" x14ac:dyDescent="0.45">
      <c r="B272" s="8" t="s">
        <v>135</v>
      </c>
      <c r="C272" s="30" t="s">
        <v>5</v>
      </c>
      <c r="D272" s="17" t="str">
        <f>IF('TECHNOLOGY REGISTER'!D18="","",'TECHNOLOGY REGISTER'!D18)</f>
        <v>Distribution</v>
      </c>
      <c r="E272" s="24"/>
      <c r="F272" s="24" t="s">
        <v>99</v>
      </c>
      <c r="G272" s="37">
        <v>86.3</v>
      </c>
      <c r="H272" s="37">
        <v>86.3</v>
      </c>
      <c r="I272" s="37">
        <v>86.3</v>
      </c>
      <c r="J272" s="37">
        <v>86.3</v>
      </c>
      <c r="K272" s="37">
        <v>86.3</v>
      </c>
      <c r="L272" s="37">
        <v>86.3</v>
      </c>
      <c r="M272" s="37">
        <v>230.10000000000002</v>
      </c>
      <c r="N272" s="37">
        <v>260.70000000000005</v>
      </c>
      <c r="O272" s="37">
        <v>260.70000000000005</v>
      </c>
      <c r="P272" s="37">
        <v>260.70000000000005</v>
      </c>
      <c r="Q272" s="37">
        <v>260.70000000000005</v>
      </c>
      <c r="R272" s="37">
        <v>260.70000000000005</v>
      </c>
      <c r="S272" s="37">
        <v>260.70000000000005</v>
      </c>
      <c r="T272" s="37">
        <v>260.70000000000005</v>
      </c>
      <c r="U272" s="37">
        <v>347.40000000000003</v>
      </c>
      <c r="V272" s="37">
        <v>361.3</v>
      </c>
      <c r="W272" s="37">
        <v>575</v>
      </c>
      <c r="X272" s="37">
        <v>592.5</v>
      </c>
      <c r="Y272" s="37">
        <v>633.5</v>
      </c>
      <c r="Z272" s="37">
        <v>683.4</v>
      </c>
      <c r="AA272" s="37">
        <v>651.1</v>
      </c>
      <c r="AB272" s="37">
        <v>720.5</v>
      </c>
      <c r="AC272" s="37">
        <v>869.3</v>
      </c>
      <c r="AD272" s="37">
        <v>964.8</v>
      </c>
      <c r="AE272" s="37">
        <v>1150.2</v>
      </c>
      <c r="AF272" s="37">
        <v>1264.7</v>
      </c>
      <c r="AG272" s="37">
        <v>1478.1</v>
      </c>
      <c r="AH272" s="37">
        <v>1618.4999999999998</v>
      </c>
      <c r="AI272" s="37">
        <v>1828.9999999999998</v>
      </c>
      <c r="AJ272" s="37">
        <v>1949.5999999999997</v>
      </c>
      <c r="AK272" s="37">
        <v>2083.0999999999995</v>
      </c>
      <c r="AL272" s="37">
        <v>2251.5999999999995</v>
      </c>
      <c r="AM272" s="37">
        <v>2453.3999999999996</v>
      </c>
      <c r="AN272" s="37">
        <v>2610.2999999999997</v>
      </c>
      <c r="AO272" s="37">
        <v>2764.9</v>
      </c>
      <c r="AP272" s="37">
        <v>2965.7000000000003</v>
      </c>
      <c r="AQ272" s="37">
        <v>3185.8</v>
      </c>
      <c r="AR272" s="37">
        <v>3405.1000000000004</v>
      </c>
      <c r="AS272" s="37">
        <v>3633.2000000000003</v>
      </c>
      <c r="AT272" s="37">
        <v>3758.7000000000003</v>
      </c>
      <c r="AU272" s="37">
        <v>3900.8</v>
      </c>
      <c r="AV272" s="37">
        <v>4055.8</v>
      </c>
      <c r="AW272" s="37">
        <v>4164.6000000000004</v>
      </c>
      <c r="AX272" s="37">
        <v>4281.8999999999996</v>
      </c>
      <c r="AY272" s="37">
        <v>4393.6000000000004</v>
      </c>
      <c r="AZ272" s="37">
        <v>4551</v>
      </c>
    </row>
    <row r="273" spans="2:52" ht="17" customHeight="1" x14ac:dyDescent="0.45">
      <c r="B273" s="33" t="s">
        <v>135</v>
      </c>
      <c r="C273" s="29" t="s">
        <v>5</v>
      </c>
      <c r="D273" s="19" t="str">
        <f>IF('TECHNOLOGY REGISTER'!D19="","",'TECHNOLOGY REGISTER'!D19)</f>
        <v>Imports</v>
      </c>
      <c r="E273" s="32"/>
      <c r="F273" s="32" t="s">
        <v>99</v>
      </c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</row>
    <row r="274" spans="2:52" ht="17" customHeight="1" x14ac:dyDescent="0.45">
      <c r="B274" s="8" t="s">
        <v>135</v>
      </c>
      <c r="C274" s="30" t="s">
        <v>5</v>
      </c>
      <c r="D274" s="17" t="str">
        <f>IF('TECHNOLOGY REGISTER'!D20="","",'TECHNOLOGY REGISTER'!D20)</f>
        <v>Energy Exports</v>
      </c>
      <c r="E274" s="24"/>
      <c r="F274" s="24" t="s">
        <v>99</v>
      </c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</row>
    <row r="275" spans="2:52" ht="17" customHeight="1" x14ac:dyDescent="0.45">
      <c r="B275" s="33" t="s">
        <v>135</v>
      </c>
      <c r="C275" s="29" t="s">
        <v>5</v>
      </c>
      <c r="D275" s="19" t="str">
        <f>IF('TECHNOLOGY REGISTER'!D21="","",'TECHNOLOGY REGISTER'!D21)</f>
        <v>Direct Solar</v>
      </c>
      <c r="E275" s="32"/>
      <c r="F275" s="32" t="s">
        <v>99</v>
      </c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</row>
    <row r="276" spans="2:52" ht="15" customHeight="1" x14ac:dyDescent="0.45">
      <c r="B276" s="8" t="s">
        <v>135</v>
      </c>
      <c r="C276" s="30" t="s">
        <v>5</v>
      </c>
      <c r="D276" s="17" t="str">
        <f>IF('TECHNOLOGY REGISTER'!D22="","",'TECHNOLOGY REGISTER'!D22)</f>
        <v>Direct Oil</v>
      </c>
      <c r="E276" s="24"/>
      <c r="F276" s="24" t="s">
        <v>99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</row>
    <row r="277" spans="2:52" ht="15" customHeight="1" x14ac:dyDescent="0.45">
      <c r="B277" s="33" t="s">
        <v>135</v>
      </c>
      <c r="C277" s="29" t="s">
        <v>5</v>
      </c>
      <c r="D277" s="19" t="str">
        <f>IF('TECHNOLOGY REGISTER'!D23="","",'TECHNOLOGY REGISTER'!D23)</f>
        <v>Direct Hydro</v>
      </c>
      <c r="E277" s="32"/>
      <c r="F277" s="32" t="s">
        <v>99</v>
      </c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</row>
    <row r="278" spans="2:52" ht="15" customHeight="1" x14ac:dyDescent="0.45">
      <c r="B278" s="8" t="s">
        <v>135</v>
      </c>
      <c r="C278" s="30" t="s">
        <v>5</v>
      </c>
      <c r="D278" s="17" t="str">
        <f>IF('TECHNOLOGY REGISTER'!D24="","",'TECHNOLOGY REGISTER'!D24)</f>
        <v/>
      </c>
      <c r="E278" s="24"/>
      <c r="F278" s="24" t="s">
        <v>99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</row>
    <row r="279" spans="2:52" ht="15" customHeight="1" x14ac:dyDescent="0.45">
      <c r="B279" s="33" t="s">
        <v>135</v>
      </c>
      <c r="C279" s="29" t="s">
        <v>5</v>
      </c>
      <c r="D279" s="19" t="str">
        <f>IF('TECHNOLOGY REGISTER'!D25="","",'TECHNOLOGY REGISTER'!D25)</f>
        <v/>
      </c>
      <c r="E279" s="32"/>
      <c r="F279" s="32" t="s">
        <v>99</v>
      </c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</row>
    <row r="280" spans="2:52" ht="15" customHeight="1" x14ac:dyDescent="0.45">
      <c r="B280" s="8" t="s">
        <v>135</v>
      </c>
      <c r="C280" s="30" t="s">
        <v>5</v>
      </c>
      <c r="D280" s="17" t="str">
        <f>IF('TECHNOLOGY REGISTER'!D26="","",'TECHNOLOGY REGISTER'!D26)</f>
        <v/>
      </c>
      <c r="E280" s="24"/>
      <c r="F280" s="24" t="s">
        <v>99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</row>
    <row r="281" spans="2:52" ht="15" customHeight="1" x14ac:dyDescent="0.45">
      <c r="B281" s="33" t="s">
        <v>135</v>
      </c>
      <c r="C281" s="29" t="s">
        <v>5</v>
      </c>
      <c r="D281" s="19" t="str">
        <f>IF('TECHNOLOGY REGISTER'!D27="","",'TECHNOLOGY REGISTER'!D27)</f>
        <v/>
      </c>
      <c r="E281" s="32"/>
      <c r="F281" s="32" t="s">
        <v>99</v>
      </c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</row>
    <row r="282" spans="2:52" ht="15" customHeight="1" x14ac:dyDescent="0.45">
      <c r="B282" s="8" t="s">
        <v>135</v>
      </c>
      <c r="C282" s="30" t="s">
        <v>5</v>
      </c>
      <c r="D282" s="17" t="str">
        <f>IF('TECHNOLOGY REGISTER'!D28="","",'TECHNOLOGY REGISTER'!D28)</f>
        <v/>
      </c>
      <c r="E282" s="24"/>
      <c r="F282" s="24" t="s">
        <v>99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</row>
    <row r="283" spans="2:52" ht="15" customHeight="1" x14ac:dyDescent="0.45">
      <c r="B283" s="33" t="s">
        <v>135</v>
      </c>
      <c r="C283" s="29" t="s">
        <v>5</v>
      </c>
      <c r="D283" s="19" t="str">
        <f>IF('TECHNOLOGY REGISTER'!D29="","",'TECHNOLOGY REGISTER'!D29)</f>
        <v/>
      </c>
      <c r="E283" s="32"/>
      <c r="F283" s="32" t="s">
        <v>99</v>
      </c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</row>
    <row r="284" spans="2:52" ht="15" customHeight="1" x14ac:dyDescent="0.45">
      <c r="B284" s="8" t="s">
        <v>135</v>
      </c>
      <c r="C284" s="30" t="s">
        <v>5</v>
      </c>
      <c r="D284" s="17" t="str">
        <f>IF('TECHNOLOGY REGISTER'!D30="","",'TECHNOLOGY REGISTER'!D30)</f>
        <v/>
      </c>
      <c r="E284" s="24"/>
      <c r="F284" s="24" t="s">
        <v>99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</row>
    <row r="285" spans="2:52" ht="15" customHeight="1" x14ac:dyDescent="0.45">
      <c r="B285" s="33" t="s">
        <v>135</v>
      </c>
      <c r="C285" s="29" t="s">
        <v>5</v>
      </c>
      <c r="D285" s="19" t="str">
        <f>IF('TECHNOLOGY REGISTER'!D31="","",'TECHNOLOGY REGISTER'!D31)</f>
        <v/>
      </c>
      <c r="E285" s="32"/>
      <c r="F285" s="32" t="s">
        <v>99</v>
      </c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</row>
    <row r="286" spans="2:52" ht="15" customHeight="1" x14ac:dyDescent="0.45">
      <c r="B286" s="8" t="s">
        <v>135</v>
      </c>
      <c r="C286" s="30" t="s">
        <v>5</v>
      </c>
      <c r="D286" s="17" t="str">
        <f>IF('TECHNOLOGY REGISTER'!D32="","",'TECHNOLOGY REGISTER'!D32)</f>
        <v/>
      </c>
      <c r="E286" s="24"/>
      <c r="F286" s="24" t="s">
        <v>99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</row>
    <row r="287" spans="2:52" ht="15" customHeight="1" x14ac:dyDescent="0.45">
      <c r="B287" s="33" t="s">
        <v>135</v>
      </c>
      <c r="C287" s="29" t="s">
        <v>5</v>
      </c>
      <c r="D287" s="19" t="str">
        <f>IF('TECHNOLOGY REGISTER'!D33="","",'TECHNOLOGY REGISTER'!D33)</f>
        <v/>
      </c>
      <c r="E287" s="32"/>
      <c r="F287" s="32" t="s">
        <v>99</v>
      </c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</row>
    <row r="288" spans="2:52" ht="15" customHeight="1" x14ac:dyDescent="0.45">
      <c r="B288" s="8" t="s">
        <v>135</v>
      </c>
      <c r="C288" s="30" t="s">
        <v>5</v>
      </c>
      <c r="D288" s="17" t="str">
        <f>IF('TECHNOLOGY REGISTER'!D34="","",'TECHNOLOGY REGISTER'!D34)</f>
        <v/>
      </c>
      <c r="E288" s="24"/>
      <c r="F288" s="24" t="s">
        <v>99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</row>
    <row r="289" spans="2:52" ht="15" customHeight="1" x14ac:dyDescent="0.45">
      <c r="B289" s="33" t="s">
        <v>135</v>
      </c>
      <c r="C289" s="29" t="s">
        <v>5</v>
      </c>
      <c r="D289" s="19" t="str">
        <f>IF('TECHNOLOGY REGISTER'!D35="","",'TECHNOLOGY REGISTER'!D35)</f>
        <v/>
      </c>
      <c r="E289" s="32"/>
      <c r="F289" s="32" t="s">
        <v>99</v>
      </c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</row>
    <row r="290" spans="2:52" ht="15" customHeight="1" x14ac:dyDescent="0.45">
      <c r="B290" s="8" t="s">
        <v>135</v>
      </c>
      <c r="C290" s="30" t="s">
        <v>5</v>
      </c>
      <c r="D290" s="17" t="str">
        <f>IF('TECHNOLOGY REGISTER'!D36="","",'TECHNOLOGY REGISTER'!D36)</f>
        <v/>
      </c>
      <c r="E290" s="24"/>
      <c r="F290" s="24" t="s">
        <v>99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</row>
    <row r="291" spans="2:52" ht="15" customHeight="1" x14ac:dyDescent="0.45">
      <c r="B291" s="33" t="s">
        <v>135</v>
      </c>
      <c r="C291" s="29" t="s">
        <v>5</v>
      </c>
      <c r="D291" s="19" t="str">
        <f>IF('TECHNOLOGY REGISTER'!D37="","",'TECHNOLOGY REGISTER'!D37)</f>
        <v/>
      </c>
      <c r="E291" s="32"/>
      <c r="F291" s="32" t="s">
        <v>99</v>
      </c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</row>
    <row r="292" spans="2:52" ht="15" customHeight="1" x14ac:dyDescent="0.45">
      <c r="B292" s="8" t="s">
        <v>135</v>
      </c>
      <c r="C292" s="30" t="s">
        <v>5</v>
      </c>
      <c r="D292" s="17" t="str">
        <f>IF('TECHNOLOGY REGISTER'!D38="","",'TECHNOLOGY REGISTER'!D38)</f>
        <v/>
      </c>
      <c r="E292" s="24"/>
      <c r="F292" s="24" t="s">
        <v>99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</row>
    <row r="293" spans="2:52" ht="15" customHeight="1" x14ac:dyDescent="0.45">
      <c r="B293" s="33" t="s">
        <v>135</v>
      </c>
      <c r="C293" s="29" t="s">
        <v>5</v>
      </c>
      <c r="D293" s="19" t="str">
        <f>IF('TECHNOLOGY REGISTER'!D39="","",'TECHNOLOGY REGISTER'!D39)</f>
        <v/>
      </c>
      <c r="E293" s="32"/>
      <c r="F293" s="32" t="s">
        <v>99</v>
      </c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</row>
    <row r="294" spans="2:52" ht="15" customHeight="1" x14ac:dyDescent="0.45">
      <c r="B294" s="8" t="s">
        <v>135</v>
      </c>
      <c r="C294" s="30" t="s">
        <v>5</v>
      </c>
      <c r="D294" s="17" t="str">
        <f>IF('TECHNOLOGY REGISTER'!D40="","",'TECHNOLOGY REGISTER'!D40)</f>
        <v/>
      </c>
      <c r="E294" s="24"/>
      <c r="F294" s="24" t="s">
        <v>99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</row>
    <row r="295" spans="2:52" ht="15" customHeight="1" x14ac:dyDescent="0.45">
      <c r="B295" s="33" t="s">
        <v>135</v>
      </c>
      <c r="C295" s="29" t="s">
        <v>5</v>
      </c>
      <c r="D295" s="19" t="str">
        <f>IF('TECHNOLOGY REGISTER'!D41="","",'TECHNOLOGY REGISTER'!D41)</f>
        <v/>
      </c>
      <c r="E295" s="32"/>
      <c r="F295" s="32" t="s">
        <v>99</v>
      </c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</row>
    <row r="296" spans="2:52" ht="15" customHeight="1" x14ac:dyDescent="0.45">
      <c r="B296" s="8" t="s">
        <v>135</v>
      </c>
      <c r="C296" s="30" t="s">
        <v>5</v>
      </c>
      <c r="D296" s="17" t="str">
        <f>IF('TECHNOLOGY REGISTER'!D42="","",'TECHNOLOGY REGISTER'!D42)</f>
        <v/>
      </c>
      <c r="E296" s="24"/>
      <c r="F296" s="24" t="s">
        <v>99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</row>
    <row r="297" spans="2:52" ht="15" customHeight="1" x14ac:dyDescent="0.45">
      <c r="B297" s="33" t="s">
        <v>135</v>
      </c>
      <c r="C297" s="29" t="s">
        <v>5</v>
      </c>
      <c r="D297" s="19" t="str">
        <f>IF('TECHNOLOGY REGISTER'!D43="","",'TECHNOLOGY REGISTER'!D43)</f>
        <v/>
      </c>
      <c r="E297" s="32"/>
      <c r="F297" s="32" t="s">
        <v>99</v>
      </c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</row>
    <row r="298" spans="2:52" ht="15" customHeight="1" x14ac:dyDescent="0.45">
      <c r="B298" s="8" t="s">
        <v>135</v>
      </c>
      <c r="C298" s="30" t="s">
        <v>5</v>
      </c>
      <c r="D298" s="17" t="str">
        <f>IF('TECHNOLOGY REGISTER'!D44="","",'TECHNOLOGY REGISTER'!D44)</f>
        <v/>
      </c>
      <c r="E298" s="24"/>
      <c r="F298" s="24" t="s">
        <v>99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</row>
    <row r="299" spans="2:52" ht="15" customHeight="1" x14ac:dyDescent="0.45">
      <c r="B299" s="33" t="s">
        <v>135</v>
      </c>
      <c r="C299" s="29" t="s">
        <v>5</v>
      </c>
      <c r="D299" s="19" t="str">
        <f>IF('TECHNOLOGY REGISTER'!D45="","",'TECHNOLOGY REGISTER'!D45)</f>
        <v/>
      </c>
      <c r="E299" s="32"/>
      <c r="F299" s="32" t="s">
        <v>99</v>
      </c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</row>
    <row r="300" spans="2:52" ht="15" customHeight="1" x14ac:dyDescent="0.45">
      <c r="B300" s="8" t="s">
        <v>135</v>
      </c>
      <c r="C300" s="30" t="s">
        <v>5</v>
      </c>
      <c r="D300" s="17" t="str">
        <f>IF('TECHNOLOGY REGISTER'!D46="","",'TECHNOLOGY REGISTER'!D46)</f>
        <v/>
      </c>
      <c r="E300" s="24"/>
      <c r="F300" s="24" t="s">
        <v>99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</row>
    <row r="301" spans="2:52" ht="15" customHeight="1" x14ac:dyDescent="0.45">
      <c r="B301" s="33" t="s">
        <v>135</v>
      </c>
      <c r="C301" s="29" t="s">
        <v>5</v>
      </c>
      <c r="D301" s="19" t="str">
        <f>IF('TECHNOLOGY REGISTER'!D47="","",'TECHNOLOGY REGISTER'!D47)</f>
        <v/>
      </c>
      <c r="E301" s="32"/>
      <c r="F301" s="32" t="s">
        <v>99</v>
      </c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</row>
    <row r="302" spans="2:52" ht="15" customHeight="1" x14ac:dyDescent="0.45">
      <c r="B302" s="8" t="s">
        <v>135</v>
      </c>
      <c r="C302" s="30" t="s">
        <v>5</v>
      </c>
      <c r="D302" s="17" t="str">
        <f>IF('TECHNOLOGY REGISTER'!D48="","",'TECHNOLOGY REGISTER'!D48)</f>
        <v/>
      </c>
      <c r="E302" s="24"/>
      <c r="F302" s="24" t="s">
        <v>99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</row>
    <row r="303" spans="2:52" ht="15" customHeight="1" x14ac:dyDescent="0.45">
      <c r="B303" s="33" t="s">
        <v>135</v>
      </c>
      <c r="C303" s="29" t="s">
        <v>5</v>
      </c>
      <c r="D303" s="19" t="str">
        <f>IF('TECHNOLOGY REGISTER'!D49="","",'TECHNOLOGY REGISTER'!D49)</f>
        <v/>
      </c>
      <c r="E303" s="32"/>
      <c r="F303" s="32" t="s">
        <v>99</v>
      </c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</row>
    <row r="304" spans="2:52" ht="15" customHeight="1" x14ac:dyDescent="0.45">
      <c r="B304" s="8" t="s">
        <v>135</v>
      </c>
      <c r="C304" s="30" t="s">
        <v>5</v>
      </c>
      <c r="D304" s="17" t="str">
        <f>IF('TECHNOLOGY REGISTER'!D50="","",'TECHNOLOGY REGISTER'!D50)</f>
        <v/>
      </c>
      <c r="E304" s="24"/>
      <c r="F304" s="24" t="s">
        <v>99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</row>
    <row r="305" spans="2:52" ht="15" customHeight="1" x14ac:dyDescent="0.45">
      <c r="B305" s="33" t="s">
        <v>135</v>
      </c>
      <c r="C305" s="29" t="s">
        <v>5</v>
      </c>
      <c r="D305" s="19" t="str">
        <f>IF('TECHNOLOGY REGISTER'!D51="","",'TECHNOLOGY REGISTER'!D51)</f>
        <v/>
      </c>
      <c r="E305" s="32"/>
      <c r="F305" s="32" t="s">
        <v>99</v>
      </c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</row>
    <row r="306" spans="2:52" ht="15" customHeight="1" x14ac:dyDescent="0.45">
      <c r="B306" s="8" t="s">
        <v>135</v>
      </c>
      <c r="C306" s="30" t="s">
        <v>5</v>
      </c>
      <c r="D306" s="17" t="str">
        <f>IF('TECHNOLOGY REGISTER'!D52="","",'TECHNOLOGY REGISTER'!D52)</f>
        <v/>
      </c>
      <c r="E306" s="24"/>
      <c r="F306" s="24" t="s">
        <v>99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</row>
    <row r="307" spans="2:52" ht="15" customHeight="1" x14ac:dyDescent="0.45">
      <c r="B307" s="33" t="s">
        <v>135</v>
      </c>
      <c r="C307" s="29" t="s">
        <v>5</v>
      </c>
      <c r="D307" s="19" t="str">
        <f>IF('TECHNOLOGY REGISTER'!D53="","",'TECHNOLOGY REGISTER'!D53)</f>
        <v/>
      </c>
      <c r="E307" s="32"/>
      <c r="F307" s="32" t="s">
        <v>99</v>
      </c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</row>
    <row r="308" spans="2:52" ht="15" customHeight="1" x14ac:dyDescent="0.45">
      <c r="B308" s="8" t="s">
        <v>135</v>
      </c>
      <c r="C308" s="30" t="s">
        <v>5</v>
      </c>
      <c r="D308" s="17" t="str">
        <f>IF('TECHNOLOGY REGISTER'!D54="","",'TECHNOLOGY REGISTER'!D54)</f>
        <v/>
      </c>
      <c r="E308" s="24"/>
      <c r="F308" s="24" t="s">
        <v>99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</row>
    <row r="309" spans="2:52" ht="15" customHeight="1" x14ac:dyDescent="0.45">
      <c r="B309" s="33" t="s">
        <v>135</v>
      </c>
      <c r="C309" s="29" t="s">
        <v>5</v>
      </c>
      <c r="D309" s="19" t="str">
        <f>IF('TECHNOLOGY REGISTER'!D55="","",'TECHNOLOGY REGISTER'!D55)</f>
        <v/>
      </c>
      <c r="E309" s="32"/>
      <c r="F309" s="32" t="s">
        <v>99</v>
      </c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</row>
    <row r="310" spans="2:52" ht="15" customHeight="1" thickBot="1" x14ac:dyDescent="0.5">
      <c r="B310" s="8" t="s">
        <v>135</v>
      </c>
      <c r="C310" s="30" t="s">
        <v>5</v>
      </c>
      <c r="D310" s="17" t="str">
        <f>IF('TECHNOLOGY REGISTER'!D56="","",'TECHNOLOGY REGISTER'!D56)</f>
        <v/>
      </c>
      <c r="E310" s="24"/>
      <c r="F310" s="24" t="s">
        <v>99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</row>
    <row r="311" spans="2:52" customFormat="1" ht="20" customHeight="1" x14ac:dyDescent="0.5">
      <c r="B311" s="69" t="s">
        <v>150</v>
      </c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</row>
    <row r="312" spans="2:52" ht="17" customHeight="1" x14ac:dyDescent="0.45">
      <c r="B312" s="33" t="s">
        <v>136</v>
      </c>
      <c r="C312" s="29" t="s">
        <v>5</v>
      </c>
      <c r="D312" s="19" t="str">
        <f>IF('TECHNOLOGY REGISTER'!D7="","",'TECHNOLOGY REGISTER'!D7)</f>
        <v>Biomass</v>
      </c>
      <c r="E312" s="36" t="s">
        <v>53</v>
      </c>
      <c r="F312" s="32" t="str">
        <f>IF(E312="","","Mn "&amp;E312&amp;"/MW")</f>
        <v>Mn KES/MW</v>
      </c>
      <c r="G312" s="36">
        <v>0</v>
      </c>
      <c r="H312" s="36">
        <v>0</v>
      </c>
      <c r="I312" s="36">
        <v>0</v>
      </c>
      <c r="J312" s="36">
        <v>0</v>
      </c>
      <c r="K312" s="36">
        <v>0</v>
      </c>
      <c r="L312" s="36">
        <v>0</v>
      </c>
      <c r="M312" s="36">
        <v>0</v>
      </c>
      <c r="N312" s="36">
        <v>0</v>
      </c>
      <c r="O312" s="36">
        <v>0</v>
      </c>
      <c r="P312" s="36">
        <v>0</v>
      </c>
      <c r="Q312" s="36">
        <v>0</v>
      </c>
      <c r="R312" s="36">
        <v>0</v>
      </c>
      <c r="S312" s="36">
        <v>0</v>
      </c>
      <c r="T312" s="36">
        <v>0</v>
      </c>
      <c r="U312" s="36">
        <v>0</v>
      </c>
      <c r="V312" s="36">
        <v>0</v>
      </c>
      <c r="W312" s="36">
        <v>0</v>
      </c>
      <c r="X312" s="36">
        <v>0</v>
      </c>
      <c r="Y312" s="36">
        <v>0</v>
      </c>
      <c r="Z312" s="36">
        <v>0</v>
      </c>
      <c r="AA312" s="36">
        <v>0</v>
      </c>
      <c r="AB312" s="36">
        <v>0</v>
      </c>
      <c r="AC312" s="36">
        <v>0</v>
      </c>
      <c r="AD312" s="36">
        <v>0</v>
      </c>
      <c r="AE312" s="36">
        <v>0</v>
      </c>
      <c r="AF312" s="36">
        <v>0</v>
      </c>
      <c r="AG312" s="36">
        <v>0</v>
      </c>
      <c r="AH312" s="36">
        <v>0</v>
      </c>
      <c r="AI312" s="36">
        <v>0</v>
      </c>
      <c r="AJ312" s="36">
        <v>0</v>
      </c>
      <c r="AK312" s="36">
        <v>0</v>
      </c>
      <c r="AL312" s="36">
        <v>0</v>
      </c>
      <c r="AM312" s="36">
        <v>0</v>
      </c>
      <c r="AN312" s="36">
        <v>0</v>
      </c>
      <c r="AO312" s="36">
        <v>0</v>
      </c>
      <c r="AP312" s="36">
        <v>0</v>
      </c>
      <c r="AQ312" s="36">
        <v>0</v>
      </c>
      <c r="AR312" s="36">
        <v>0</v>
      </c>
      <c r="AS312" s="36">
        <v>0</v>
      </c>
      <c r="AT312" s="36">
        <v>0</v>
      </c>
      <c r="AU312" s="36">
        <v>0</v>
      </c>
      <c r="AV312" s="36">
        <v>0</v>
      </c>
      <c r="AW312" s="36">
        <v>0</v>
      </c>
      <c r="AX312" s="36">
        <v>0</v>
      </c>
      <c r="AY312" s="36">
        <v>0</v>
      </c>
      <c r="AZ312" s="36">
        <v>0</v>
      </c>
    </row>
    <row r="313" spans="2:52" ht="17" customHeight="1" x14ac:dyDescent="0.45">
      <c r="B313" s="8" t="s">
        <v>136</v>
      </c>
      <c r="C313" s="30" t="s">
        <v>5</v>
      </c>
      <c r="D313" s="17" t="str">
        <f>IF('TECHNOLOGY REGISTER'!D8="","",'TECHNOLOGY REGISTER'!D8)</f>
        <v>Geothermal</v>
      </c>
      <c r="E313" s="37" t="s">
        <v>53</v>
      </c>
      <c r="F313" s="24" t="str">
        <f t="shared" ref="F313:F361" si="2">IF(E313="","","Mn "&amp;E313&amp;"/MW")</f>
        <v>Mn KES/MW</v>
      </c>
      <c r="G313" s="37">
        <v>41.64794928478544</v>
      </c>
      <c r="H313" s="37">
        <v>41.64794928478544</v>
      </c>
      <c r="I313" s="37">
        <v>41.64794928478544</v>
      </c>
      <c r="J313" s="37">
        <v>41.64794928478544</v>
      </c>
      <c r="K313" s="37">
        <v>41.64794928478544</v>
      </c>
      <c r="L313" s="37">
        <v>41.64794928478544</v>
      </c>
      <c r="M313" s="37">
        <v>41.64794928478544</v>
      </c>
      <c r="N313" s="37">
        <v>41.64794928478544</v>
      </c>
      <c r="O313" s="37">
        <v>41.64794928478544</v>
      </c>
      <c r="P313" s="37">
        <v>41.64794928478544</v>
      </c>
      <c r="Q313" s="37">
        <v>41.64794928478544</v>
      </c>
      <c r="R313" s="37">
        <v>41.64794928478544</v>
      </c>
      <c r="S313" s="37">
        <v>41.64794928478544</v>
      </c>
      <c r="T313" s="37">
        <v>41.64794928478544</v>
      </c>
      <c r="U313" s="37">
        <v>41.64794928478544</v>
      </c>
      <c r="V313" s="37">
        <v>41.64794928478544</v>
      </c>
      <c r="W313" s="37">
        <v>41.64794928478544</v>
      </c>
      <c r="X313" s="37">
        <v>41.64794928478544</v>
      </c>
      <c r="Y313" s="37">
        <v>41.64794928478544</v>
      </c>
      <c r="Z313" s="37">
        <v>41.64794928478544</v>
      </c>
      <c r="AA313" s="37">
        <v>41.64794928478544</v>
      </c>
      <c r="AB313" s="37">
        <v>41.64794928478544</v>
      </c>
      <c r="AC313" s="37">
        <v>41.64794928478544</v>
      </c>
      <c r="AD313" s="37">
        <v>41.64794928478544</v>
      </c>
      <c r="AE313" s="37">
        <v>41.64794928478544</v>
      </c>
      <c r="AF313" s="37">
        <v>41.64794928478544</v>
      </c>
      <c r="AG313" s="37">
        <v>41.64794928478544</v>
      </c>
      <c r="AH313" s="37">
        <v>41.64794928478544</v>
      </c>
      <c r="AI313" s="37">
        <v>41.64794928478544</v>
      </c>
      <c r="AJ313" s="37">
        <v>41.64794928478544</v>
      </c>
      <c r="AK313" s="37">
        <v>41.64794928478544</v>
      </c>
      <c r="AL313" s="37">
        <v>41.64794928478544</v>
      </c>
      <c r="AM313" s="37">
        <v>41.64794928478544</v>
      </c>
      <c r="AN313" s="37">
        <v>41.64794928478544</v>
      </c>
      <c r="AO313" s="37">
        <v>41.64794928478544</v>
      </c>
      <c r="AP313" s="37">
        <v>41.64794928478544</v>
      </c>
      <c r="AQ313" s="37">
        <v>41.64794928478544</v>
      </c>
      <c r="AR313" s="37">
        <v>41.64794928478544</v>
      </c>
      <c r="AS313" s="37">
        <v>41.64794928478544</v>
      </c>
      <c r="AT313" s="37">
        <v>41.64794928478544</v>
      </c>
      <c r="AU313" s="37">
        <v>41.64794928478544</v>
      </c>
      <c r="AV313" s="37">
        <v>41.64794928478544</v>
      </c>
      <c r="AW313" s="37">
        <v>41.64794928478544</v>
      </c>
      <c r="AX313" s="37">
        <v>41.64794928478544</v>
      </c>
      <c r="AY313" s="37">
        <v>41.64794928478544</v>
      </c>
      <c r="AZ313" s="37">
        <v>41.64794928478544</v>
      </c>
    </row>
    <row r="314" spans="2:52" ht="17" customHeight="1" x14ac:dyDescent="0.45">
      <c r="B314" s="33" t="s">
        <v>136</v>
      </c>
      <c r="C314" s="29" t="s">
        <v>5</v>
      </c>
      <c r="D314" s="19" t="str">
        <f>IF('TECHNOLOGY REGISTER'!D9="","",'TECHNOLOGY REGISTER'!D9)</f>
        <v>Solar PV</v>
      </c>
      <c r="E314" s="36" t="s">
        <v>53</v>
      </c>
      <c r="F314" s="32" t="str">
        <f t="shared" si="2"/>
        <v>Mn KES/MW</v>
      </c>
      <c r="G314" s="36">
        <v>0</v>
      </c>
      <c r="H314" s="36">
        <v>0</v>
      </c>
      <c r="I314" s="36">
        <v>0</v>
      </c>
      <c r="J314" s="36">
        <v>0</v>
      </c>
      <c r="K314" s="36">
        <v>0</v>
      </c>
      <c r="L314" s="36">
        <v>0</v>
      </c>
      <c r="M314" s="36">
        <v>0</v>
      </c>
      <c r="N314" s="36">
        <v>0</v>
      </c>
      <c r="O314" s="36">
        <v>0</v>
      </c>
      <c r="P314" s="36">
        <v>0</v>
      </c>
      <c r="Q314" s="36">
        <v>0</v>
      </c>
      <c r="R314" s="36">
        <v>0</v>
      </c>
      <c r="S314" s="36">
        <v>0</v>
      </c>
      <c r="T314" s="36">
        <v>0</v>
      </c>
      <c r="U314" s="36">
        <v>0</v>
      </c>
      <c r="V314" s="36">
        <v>0</v>
      </c>
      <c r="W314" s="36">
        <v>0</v>
      </c>
      <c r="X314" s="36">
        <v>0</v>
      </c>
      <c r="Y314" s="36">
        <v>0</v>
      </c>
      <c r="Z314" s="36">
        <v>0</v>
      </c>
      <c r="AA314" s="36">
        <v>0</v>
      </c>
      <c r="AB314" s="36">
        <v>0</v>
      </c>
      <c r="AC314" s="36">
        <v>0</v>
      </c>
      <c r="AD314" s="36">
        <v>0</v>
      </c>
      <c r="AE314" s="36">
        <v>0</v>
      </c>
      <c r="AF314" s="36">
        <v>0</v>
      </c>
      <c r="AG314" s="36">
        <v>0</v>
      </c>
      <c r="AH314" s="36">
        <v>0</v>
      </c>
      <c r="AI314" s="36">
        <v>0</v>
      </c>
      <c r="AJ314" s="36">
        <v>0</v>
      </c>
      <c r="AK314" s="36">
        <v>0</v>
      </c>
      <c r="AL314" s="36">
        <v>0</v>
      </c>
      <c r="AM314" s="36">
        <v>0</v>
      </c>
      <c r="AN314" s="36">
        <v>0</v>
      </c>
      <c r="AO314" s="36">
        <v>0</v>
      </c>
      <c r="AP314" s="36">
        <v>0</v>
      </c>
      <c r="AQ314" s="36">
        <v>0</v>
      </c>
      <c r="AR314" s="36">
        <v>0</v>
      </c>
      <c r="AS314" s="36">
        <v>0</v>
      </c>
      <c r="AT314" s="36">
        <v>0</v>
      </c>
      <c r="AU314" s="36">
        <v>0</v>
      </c>
      <c r="AV314" s="36">
        <v>0</v>
      </c>
      <c r="AW314" s="36">
        <v>0</v>
      </c>
      <c r="AX314" s="36">
        <v>0</v>
      </c>
      <c r="AY314" s="36">
        <v>0</v>
      </c>
      <c r="AZ314" s="36">
        <v>0</v>
      </c>
    </row>
    <row r="315" spans="2:52" ht="17" customHeight="1" x14ac:dyDescent="0.45">
      <c r="B315" s="8" t="s">
        <v>136</v>
      </c>
      <c r="C315" s="30" t="s">
        <v>5</v>
      </c>
      <c r="D315" s="17" t="str">
        <f>IF('TECHNOLOGY REGISTER'!D10="","",'TECHNOLOGY REGISTER'!D10)</f>
        <v>CSP</v>
      </c>
      <c r="E315" s="37" t="s">
        <v>53</v>
      </c>
      <c r="F315" s="24" t="str">
        <f t="shared" si="2"/>
        <v>Mn KES/MW</v>
      </c>
      <c r="G315" s="37">
        <v>9.9094869509866328</v>
      </c>
      <c r="H315" s="37">
        <v>9.9094869509866328</v>
      </c>
      <c r="I315" s="37">
        <v>9.9094869509866328</v>
      </c>
      <c r="J315" s="37">
        <v>9.9094869509866328</v>
      </c>
      <c r="K315" s="37">
        <v>9.9094869509866328</v>
      </c>
      <c r="L315" s="37">
        <v>9.9094869509866328</v>
      </c>
      <c r="M315" s="37">
        <v>9.9094869509866328</v>
      </c>
      <c r="N315" s="37">
        <v>9.9094869509866328</v>
      </c>
      <c r="O315" s="37">
        <v>9.9094869509866328</v>
      </c>
      <c r="P315" s="37">
        <v>9.9094869509866328</v>
      </c>
      <c r="Q315" s="37">
        <v>9.9094869509866328</v>
      </c>
      <c r="R315" s="37">
        <v>9.9094869509866328</v>
      </c>
      <c r="S315" s="37">
        <v>9.9094869509866328</v>
      </c>
      <c r="T315" s="37">
        <v>9.9094869509866328</v>
      </c>
      <c r="U315" s="37">
        <v>9.9094869509866328</v>
      </c>
      <c r="V315" s="37">
        <v>9.9094869509866328</v>
      </c>
      <c r="W315" s="37">
        <v>9.9094869509866328</v>
      </c>
      <c r="X315" s="37">
        <v>9.9094869509866328</v>
      </c>
      <c r="Y315" s="37">
        <v>9.9094869509866328</v>
      </c>
      <c r="Z315" s="37">
        <v>9.9094869509866328</v>
      </c>
      <c r="AA315" s="37">
        <v>9.9094869509866328</v>
      </c>
      <c r="AB315" s="37">
        <v>9.9094869509866328</v>
      </c>
      <c r="AC315" s="37">
        <v>9.9094869509866328</v>
      </c>
      <c r="AD315" s="37">
        <v>9.9094869509866328</v>
      </c>
      <c r="AE315" s="37">
        <v>9.9094869509866328</v>
      </c>
      <c r="AF315" s="37">
        <v>9.9094869509866328</v>
      </c>
      <c r="AG315" s="37">
        <v>9.9094869509866328</v>
      </c>
      <c r="AH315" s="37">
        <v>9.9094869509866328</v>
      </c>
      <c r="AI315" s="37">
        <v>9.9094869509866328</v>
      </c>
      <c r="AJ315" s="37">
        <v>9.9094869509866328</v>
      </c>
      <c r="AK315" s="37">
        <v>9.9094869509866328</v>
      </c>
      <c r="AL315" s="37">
        <v>9.9094869509866328</v>
      </c>
      <c r="AM315" s="37">
        <v>9.9094869509866328</v>
      </c>
      <c r="AN315" s="37">
        <v>9.9094869509866328</v>
      </c>
      <c r="AO315" s="37">
        <v>9.9094869509866328</v>
      </c>
      <c r="AP315" s="37">
        <v>9.9094869509866328</v>
      </c>
      <c r="AQ315" s="37">
        <v>9.9094869509866328</v>
      </c>
      <c r="AR315" s="37">
        <v>9.9094869509866328</v>
      </c>
      <c r="AS315" s="37">
        <v>9.9094869509866328</v>
      </c>
      <c r="AT315" s="37">
        <v>9.9094869509866328</v>
      </c>
      <c r="AU315" s="37">
        <v>9.9094869509866328</v>
      </c>
      <c r="AV315" s="37">
        <v>9.9094869509866328</v>
      </c>
      <c r="AW315" s="37">
        <v>9.9094869509866328</v>
      </c>
      <c r="AX315" s="37">
        <v>9.9094869509866328</v>
      </c>
      <c r="AY315" s="37">
        <v>9.9094869509866328</v>
      </c>
      <c r="AZ315" s="37">
        <v>9.9094869509866328</v>
      </c>
    </row>
    <row r="316" spans="2:52" ht="17" customHeight="1" x14ac:dyDescent="0.45">
      <c r="B316" s="33" t="s">
        <v>136</v>
      </c>
      <c r="C316" s="29" t="s">
        <v>5</v>
      </c>
      <c r="D316" s="19" t="str">
        <f>IF('TECHNOLOGY REGISTER'!D11="","",'TECHNOLOGY REGISTER'!D11)</f>
        <v>Hydropower</v>
      </c>
      <c r="E316" s="36" t="s">
        <v>53</v>
      </c>
      <c r="F316" s="32" t="str">
        <f t="shared" si="2"/>
        <v>Mn KES/MW</v>
      </c>
      <c r="G316" s="36">
        <v>0</v>
      </c>
      <c r="H316" s="36">
        <v>0</v>
      </c>
      <c r="I316" s="36">
        <v>0</v>
      </c>
      <c r="J316" s="36">
        <v>0</v>
      </c>
      <c r="K316" s="36">
        <v>0</v>
      </c>
      <c r="L316" s="36">
        <v>0</v>
      </c>
      <c r="M316" s="36">
        <v>0</v>
      </c>
      <c r="N316" s="36">
        <v>0</v>
      </c>
      <c r="O316" s="36">
        <v>0</v>
      </c>
      <c r="P316" s="36">
        <v>0</v>
      </c>
      <c r="Q316" s="36">
        <v>0</v>
      </c>
      <c r="R316" s="36">
        <v>0</v>
      </c>
      <c r="S316" s="36">
        <v>0</v>
      </c>
      <c r="T316" s="36">
        <v>0</v>
      </c>
      <c r="U316" s="36">
        <v>0</v>
      </c>
      <c r="V316" s="36">
        <v>0</v>
      </c>
      <c r="W316" s="36">
        <v>0</v>
      </c>
      <c r="X316" s="36">
        <v>0</v>
      </c>
      <c r="Y316" s="36">
        <v>0</v>
      </c>
      <c r="Z316" s="36">
        <v>0</v>
      </c>
      <c r="AA316" s="36">
        <v>0</v>
      </c>
      <c r="AB316" s="36">
        <v>0</v>
      </c>
      <c r="AC316" s="36">
        <v>0</v>
      </c>
      <c r="AD316" s="36">
        <v>0</v>
      </c>
      <c r="AE316" s="36">
        <v>0</v>
      </c>
      <c r="AF316" s="36">
        <v>0</v>
      </c>
      <c r="AG316" s="36">
        <v>0</v>
      </c>
      <c r="AH316" s="36">
        <v>0</v>
      </c>
      <c r="AI316" s="36">
        <v>0</v>
      </c>
      <c r="AJ316" s="36">
        <v>0</v>
      </c>
      <c r="AK316" s="36">
        <v>0</v>
      </c>
      <c r="AL316" s="36">
        <v>0</v>
      </c>
      <c r="AM316" s="36">
        <v>0</v>
      </c>
      <c r="AN316" s="36">
        <v>0</v>
      </c>
      <c r="AO316" s="36">
        <v>0</v>
      </c>
      <c r="AP316" s="36">
        <v>0</v>
      </c>
      <c r="AQ316" s="36">
        <v>0</v>
      </c>
      <c r="AR316" s="36">
        <v>0</v>
      </c>
      <c r="AS316" s="36">
        <v>0</v>
      </c>
      <c r="AT316" s="36">
        <v>0</v>
      </c>
      <c r="AU316" s="36">
        <v>0</v>
      </c>
      <c r="AV316" s="36">
        <v>0</v>
      </c>
      <c r="AW316" s="36">
        <v>0</v>
      </c>
      <c r="AX316" s="36">
        <v>0</v>
      </c>
      <c r="AY316" s="36">
        <v>0</v>
      </c>
      <c r="AZ316" s="36">
        <v>0</v>
      </c>
    </row>
    <row r="317" spans="2:52" ht="17" customHeight="1" x14ac:dyDescent="0.45">
      <c r="B317" s="8" t="s">
        <v>136</v>
      </c>
      <c r="C317" s="30" t="s">
        <v>5</v>
      </c>
      <c r="D317" s="17" t="str">
        <f>IF('TECHNOLOGY REGISTER'!D12="","",'TECHNOLOGY REGISTER'!D12)</f>
        <v>Nuclear</v>
      </c>
      <c r="E317" s="37" t="s">
        <v>53</v>
      </c>
      <c r="F317" s="24" t="str">
        <f t="shared" si="2"/>
        <v>Mn KES/MW</v>
      </c>
      <c r="G317" s="37">
        <v>0</v>
      </c>
      <c r="H317" s="37">
        <v>0</v>
      </c>
      <c r="I317" s="37">
        <v>0</v>
      </c>
      <c r="J317" s="37">
        <v>0</v>
      </c>
      <c r="K317" s="37">
        <v>0</v>
      </c>
      <c r="L317" s="37">
        <v>0</v>
      </c>
      <c r="M317" s="37">
        <v>0</v>
      </c>
      <c r="N317" s="37">
        <v>0</v>
      </c>
      <c r="O317" s="37">
        <v>0</v>
      </c>
      <c r="P317" s="37">
        <v>0</v>
      </c>
      <c r="Q317" s="37">
        <v>0</v>
      </c>
      <c r="R317" s="37">
        <v>0</v>
      </c>
      <c r="S317" s="37">
        <v>0</v>
      </c>
      <c r="T317" s="37">
        <v>0</v>
      </c>
      <c r="U317" s="37">
        <v>0</v>
      </c>
      <c r="V317" s="37">
        <v>0</v>
      </c>
      <c r="W317" s="37">
        <v>0</v>
      </c>
      <c r="X317" s="37">
        <v>0</v>
      </c>
      <c r="Y317" s="37">
        <v>0</v>
      </c>
      <c r="Z317" s="37">
        <v>0</v>
      </c>
      <c r="AA317" s="37">
        <v>0</v>
      </c>
      <c r="AB317" s="37">
        <v>0</v>
      </c>
      <c r="AC317" s="37">
        <v>0</v>
      </c>
      <c r="AD317" s="37">
        <v>0</v>
      </c>
      <c r="AE317" s="37">
        <v>0</v>
      </c>
      <c r="AF317" s="37">
        <v>0</v>
      </c>
      <c r="AG317" s="37">
        <v>0</v>
      </c>
      <c r="AH317" s="37">
        <v>0</v>
      </c>
      <c r="AI317" s="37">
        <v>0</v>
      </c>
      <c r="AJ317" s="37">
        <v>0</v>
      </c>
      <c r="AK317" s="37">
        <v>0</v>
      </c>
      <c r="AL317" s="37">
        <v>0</v>
      </c>
      <c r="AM317" s="37">
        <v>0</v>
      </c>
      <c r="AN317" s="37">
        <v>0</v>
      </c>
      <c r="AO317" s="37">
        <v>0</v>
      </c>
      <c r="AP317" s="37">
        <v>0</v>
      </c>
      <c r="AQ317" s="37">
        <v>0</v>
      </c>
      <c r="AR317" s="37">
        <v>0</v>
      </c>
      <c r="AS317" s="37">
        <v>0</v>
      </c>
      <c r="AT317" s="37">
        <v>0</v>
      </c>
      <c r="AU317" s="37">
        <v>0</v>
      </c>
      <c r="AV317" s="37">
        <v>0</v>
      </c>
      <c r="AW317" s="37">
        <v>0</v>
      </c>
      <c r="AX317" s="37">
        <v>0</v>
      </c>
      <c r="AY317" s="37">
        <v>0</v>
      </c>
      <c r="AZ317" s="37">
        <v>0</v>
      </c>
    </row>
    <row r="318" spans="2:52" ht="17" customHeight="1" x14ac:dyDescent="0.45">
      <c r="B318" s="33" t="s">
        <v>136</v>
      </c>
      <c r="C318" s="29" t="s">
        <v>5</v>
      </c>
      <c r="D318" s="19" t="str">
        <f>IF('TECHNOLOGY REGISTER'!D13="","",'TECHNOLOGY REGISTER'!D13)</f>
        <v>Wind</v>
      </c>
      <c r="E318" s="36" t="s">
        <v>53</v>
      </c>
      <c r="F318" s="32" t="str">
        <f t="shared" si="2"/>
        <v>Mn KES/MW</v>
      </c>
      <c r="G318" s="36">
        <v>29.791887535816613</v>
      </c>
      <c r="H318" s="36">
        <v>29.791887535816613</v>
      </c>
      <c r="I318" s="36">
        <v>29.791887535816613</v>
      </c>
      <c r="J318" s="36">
        <v>29.791887535816613</v>
      </c>
      <c r="K318" s="36">
        <v>29.791887535816613</v>
      </c>
      <c r="L318" s="36">
        <v>29.791887535816613</v>
      </c>
      <c r="M318" s="36">
        <v>29.791887535816613</v>
      </c>
      <c r="N318" s="36">
        <v>29.791887535816613</v>
      </c>
      <c r="O318" s="36">
        <v>29.791887535816613</v>
      </c>
      <c r="P318" s="36">
        <v>29.791887535816613</v>
      </c>
      <c r="Q318" s="36">
        <v>29.791887535816613</v>
      </c>
      <c r="R318" s="36">
        <v>29.791887535816613</v>
      </c>
      <c r="S318" s="36">
        <v>29.791887535816613</v>
      </c>
      <c r="T318" s="36">
        <v>29.791887535816613</v>
      </c>
      <c r="U318" s="36">
        <v>29.791887535816613</v>
      </c>
      <c r="V318" s="36">
        <v>29.791887535816613</v>
      </c>
      <c r="W318" s="36">
        <v>29.791887535816613</v>
      </c>
      <c r="X318" s="36">
        <v>29.791887535816613</v>
      </c>
      <c r="Y318" s="36">
        <v>29.791887535816613</v>
      </c>
      <c r="Z318" s="36">
        <v>29.791887535816613</v>
      </c>
      <c r="AA318" s="36">
        <v>29.791887535816613</v>
      </c>
      <c r="AB318" s="36">
        <v>29.791887535816613</v>
      </c>
      <c r="AC318" s="36">
        <v>29.791887535816613</v>
      </c>
      <c r="AD318" s="36">
        <v>29.791887535816613</v>
      </c>
      <c r="AE318" s="36">
        <v>29.791887535816613</v>
      </c>
      <c r="AF318" s="36">
        <v>29.791887535816613</v>
      </c>
      <c r="AG318" s="36">
        <v>29.791887535816613</v>
      </c>
      <c r="AH318" s="36">
        <v>29.791887535816613</v>
      </c>
      <c r="AI318" s="36">
        <v>29.791887535816613</v>
      </c>
      <c r="AJ318" s="36">
        <v>29.791887535816613</v>
      </c>
      <c r="AK318" s="36">
        <v>29.791887535816613</v>
      </c>
      <c r="AL318" s="36">
        <v>29.791887535816613</v>
      </c>
      <c r="AM318" s="36">
        <v>29.791887535816613</v>
      </c>
      <c r="AN318" s="36">
        <v>29.791887535816613</v>
      </c>
      <c r="AO318" s="36">
        <v>29.791887535816613</v>
      </c>
      <c r="AP318" s="36">
        <v>29.791887535816613</v>
      </c>
      <c r="AQ318" s="36">
        <v>29.791887535816613</v>
      </c>
      <c r="AR318" s="36">
        <v>29.791887535816613</v>
      </c>
      <c r="AS318" s="36">
        <v>29.791887535816613</v>
      </c>
      <c r="AT318" s="36">
        <v>29.791887535816613</v>
      </c>
      <c r="AU318" s="36">
        <v>29.791887535816613</v>
      </c>
      <c r="AV318" s="36">
        <v>29.791887535816613</v>
      </c>
      <c r="AW318" s="36">
        <v>29.791887535816613</v>
      </c>
      <c r="AX318" s="36">
        <v>29.791887535816613</v>
      </c>
      <c r="AY318" s="36">
        <v>29.791887535816613</v>
      </c>
      <c r="AZ318" s="36">
        <v>29.791887535816613</v>
      </c>
    </row>
    <row r="319" spans="2:52" ht="17" customHeight="1" x14ac:dyDescent="0.45">
      <c r="B319" s="8" t="s">
        <v>136</v>
      </c>
      <c r="C319" s="30" t="s">
        <v>5</v>
      </c>
      <c r="D319" s="17" t="str">
        <f>IF('TECHNOLOGY REGISTER'!D14="","",'TECHNOLOGY REGISTER'!D14)</f>
        <v>Coal</v>
      </c>
      <c r="E319" s="37" t="s">
        <v>53</v>
      </c>
      <c r="F319" s="24" t="str">
        <f t="shared" si="2"/>
        <v>Mn KES/MW</v>
      </c>
      <c r="G319" s="37">
        <v>17.902361078865763</v>
      </c>
      <c r="H319" s="37">
        <v>17.902361078865763</v>
      </c>
      <c r="I319" s="37">
        <v>17.902361078865763</v>
      </c>
      <c r="J319" s="37">
        <v>17.902361078865763</v>
      </c>
      <c r="K319" s="37">
        <v>17.902361078865763</v>
      </c>
      <c r="L319" s="37">
        <v>17.902361078865763</v>
      </c>
      <c r="M319" s="37">
        <v>17.902361078865763</v>
      </c>
      <c r="N319" s="37">
        <v>17.902361078865763</v>
      </c>
      <c r="O319" s="37">
        <v>17.902361078865763</v>
      </c>
      <c r="P319" s="37">
        <v>17.902361078865763</v>
      </c>
      <c r="Q319" s="37">
        <v>17.902361078865763</v>
      </c>
      <c r="R319" s="37">
        <v>17.902361078865763</v>
      </c>
      <c r="S319" s="37">
        <v>17.902361078865763</v>
      </c>
      <c r="T319" s="37">
        <v>17.902361078865763</v>
      </c>
      <c r="U319" s="37">
        <v>17.902361078865763</v>
      </c>
      <c r="V319" s="37">
        <v>17.902361078865763</v>
      </c>
      <c r="W319" s="37">
        <v>17.902361078865763</v>
      </c>
      <c r="X319" s="37">
        <v>17.902361078865763</v>
      </c>
      <c r="Y319" s="37">
        <v>17.902361078865763</v>
      </c>
      <c r="Z319" s="37">
        <v>17.902361078865763</v>
      </c>
      <c r="AA319" s="37">
        <v>17.902361078865763</v>
      </c>
      <c r="AB319" s="37">
        <v>17.902361078865763</v>
      </c>
      <c r="AC319" s="37">
        <v>17.902361078865763</v>
      </c>
      <c r="AD319" s="37">
        <v>17.902361078865763</v>
      </c>
      <c r="AE319" s="37">
        <v>17.902361078865763</v>
      </c>
      <c r="AF319" s="37">
        <v>17.902361078865763</v>
      </c>
      <c r="AG319" s="37">
        <v>17.902361078865763</v>
      </c>
      <c r="AH319" s="37">
        <v>17.902361078865763</v>
      </c>
      <c r="AI319" s="37">
        <v>17.902361078865763</v>
      </c>
      <c r="AJ319" s="37">
        <v>17.902361078865763</v>
      </c>
      <c r="AK319" s="37">
        <v>17.902361078865763</v>
      </c>
      <c r="AL319" s="37">
        <v>17.902361078865763</v>
      </c>
      <c r="AM319" s="37">
        <v>17.902361078865763</v>
      </c>
      <c r="AN319" s="37">
        <v>17.902361078865763</v>
      </c>
      <c r="AO319" s="37">
        <v>17.902361078865763</v>
      </c>
      <c r="AP319" s="37">
        <v>17.902361078865763</v>
      </c>
      <c r="AQ319" s="37">
        <v>17.902361078865763</v>
      </c>
      <c r="AR319" s="37">
        <v>17.902361078865763</v>
      </c>
      <c r="AS319" s="37">
        <v>17.902361078865763</v>
      </c>
      <c r="AT319" s="37">
        <v>17.902361078865763</v>
      </c>
      <c r="AU319" s="37">
        <v>17.902361078865763</v>
      </c>
      <c r="AV319" s="37">
        <v>17.902361078865763</v>
      </c>
      <c r="AW319" s="37">
        <v>17.902361078865763</v>
      </c>
      <c r="AX319" s="37">
        <v>17.902361078865763</v>
      </c>
      <c r="AY319" s="37">
        <v>17.902361078865763</v>
      </c>
      <c r="AZ319" s="37">
        <v>17.902361078865763</v>
      </c>
    </row>
    <row r="320" spans="2:52" ht="17" customHeight="1" x14ac:dyDescent="0.45">
      <c r="B320" s="33" t="s">
        <v>136</v>
      </c>
      <c r="C320" s="29" t="s">
        <v>5</v>
      </c>
      <c r="D320" s="19" t="str">
        <f>IF('TECHNOLOGY REGISTER'!D15="","",'TECHNOLOGY REGISTER'!D15)</f>
        <v>Oil</v>
      </c>
      <c r="E320" s="36" t="s">
        <v>53</v>
      </c>
      <c r="F320" s="32" t="str">
        <f t="shared" si="2"/>
        <v>Mn KES/MW</v>
      </c>
      <c r="G320" s="36">
        <v>0</v>
      </c>
      <c r="H320" s="36">
        <v>0</v>
      </c>
      <c r="I320" s="36">
        <v>0</v>
      </c>
      <c r="J320" s="36">
        <v>0</v>
      </c>
      <c r="K320" s="36">
        <v>0</v>
      </c>
      <c r="L320" s="36">
        <v>0</v>
      </c>
      <c r="M320" s="36">
        <v>0</v>
      </c>
      <c r="N320" s="36">
        <v>0</v>
      </c>
      <c r="O320" s="36">
        <v>0</v>
      </c>
      <c r="P320" s="36">
        <v>0</v>
      </c>
      <c r="Q320" s="36">
        <v>0</v>
      </c>
      <c r="R320" s="36">
        <v>0</v>
      </c>
      <c r="S320" s="36">
        <v>0</v>
      </c>
      <c r="T320" s="36">
        <v>0</v>
      </c>
      <c r="U320" s="36">
        <v>0</v>
      </c>
      <c r="V320" s="36">
        <v>0</v>
      </c>
      <c r="W320" s="36">
        <v>0</v>
      </c>
      <c r="X320" s="36">
        <v>0</v>
      </c>
      <c r="Y320" s="36">
        <v>0</v>
      </c>
      <c r="Z320" s="36">
        <v>0</v>
      </c>
      <c r="AA320" s="36">
        <v>0</v>
      </c>
      <c r="AB320" s="36">
        <v>0</v>
      </c>
      <c r="AC320" s="36">
        <v>0</v>
      </c>
      <c r="AD320" s="36">
        <v>0</v>
      </c>
      <c r="AE320" s="36">
        <v>0</v>
      </c>
      <c r="AF320" s="36">
        <v>0</v>
      </c>
      <c r="AG320" s="36">
        <v>0</v>
      </c>
      <c r="AH320" s="36">
        <v>0</v>
      </c>
      <c r="AI320" s="36">
        <v>0</v>
      </c>
      <c r="AJ320" s="36">
        <v>0</v>
      </c>
      <c r="AK320" s="36">
        <v>0</v>
      </c>
      <c r="AL320" s="36">
        <v>0</v>
      </c>
      <c r="AM320" s="36">
        <v>0</v>
      </c>
      <c r="AN320" s="36">
        <v>0</v>
      </c>
      <c r="AO320" s="36">
        <v>0</v>
      </c>
      <c r="AP320" s="36">
        <v>0</v>
      </c>
      <c r="AQ320" s="36">
        <v>0</v>
      </c>
      <c r="AR320" s="36">
        <v>0</v>
      </c>
      <c r="AS320" s="36">
        <v>0</v>
      </c>
      <c r="AT320" s="36">
        <v>0</v>
      </c>
      <c r="AU320" s="36">
        <v>0</v>
      </c>
      <c r="AV320" s="36">
        <v>0</v>
      </c>
      <c r="AW320" s="36">
        <v>0</v>
      </c>
      <c r="AX320" s="36">
        <v>0</v>
      </c>
      <c r="AY320" s="36">
        <v>0</v>
      </c>
      <c r="AZ320" s="36">
        <v>0</v>
      </c>
    </row>
    <row r="321" spans="2:52" ht="17" customHeight="1" x14ac:dyDescent="0.45">
      <c r="B321" s="8" t="s">
        <v>136</v>
      </c>
      <c r="C321" s="30" t="s">
        <v>5</v>
      </c>
      <c r="D321" s="17" t="str">
        <f>IF('TECHNOLOGY REGISTER'!D16="","",'TECHNOLOGY REGISTER'!D16)</f>
        <v>Gas</v>
      </c>
      <c r="E321" s="37" t="s">
        <v>53</v>
      </c>
      <c r="F321" s="24" t="str">
        <f t="shared" si="2"/>
        <v>Mn KES/MW</v>
      </c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</row>
    <row r="322" spans="2:52" ht="17" customHeight="1" x14ac:dyDescent="0.45">
      <c r="B322" s="33" t="s">
        <v>136</v>
      </c>
      <c r="C322" s="29" t="s">
        <v>5</v>
      </c>
      <c r="D322" s="19" t="str">
        <f>IF('TECHNOLOGY REGISTER'!D17="","",'TECHNOLOGY REGISTER'!D17)</f>
        <v>Transmission</v>
      </c>
      <c r="E322" s="36" t="s">
        <v>53</v>
      </c>
      <c r="F322" s="32" t="str">
        <f t="shared" si="2"/>
        <v>Mn KES/MW</v>
      </c>
      <c r="G322" s="36">
        <v>0</v>
      </c>
      <c r="H322" s="36">
        <v>0</v>
      </c>
      <c r="I322" s="36">
        <v>0</v>
      </c>
      <c r="J322" s="36">
        <v>0</v>
      </c>
      <c r="K322" s="36">
        <v>0</v>
      </c>
      <c r="L322" s="36">
        <v>0</v>
      </c>
      <c r="M322" s="36">
        <v>0</v>
      </c>
      <c r="N322" s="36">
        <v>0</v>
      </c>
      <c r="O322" s="36">
        <v>0</v>
      </c>
      <c r="P322" s="36">
        <v>0</v>
      </c>
      <c r="Q322" s="36">
        <v>0</v>
      </c>
      <c r="R322" s="36">
        <v>0</v>
      </c>
      <c r="S322" s="36">
        <v>0</v>
      </c>
      <c r="T322" s="36">
        <v>0</v>
      </c>
      <c r="U322" s="36">
        <v>0</v>
      </c>
      <c r="V322" s="36">
        <v>0</v>
      </c>
      <c r="W322" s="36">
        <v>0</v>
      </c>
      <c r="X322" s="36">
        <v>0</v>
      </c>
      <c r="Y322" s="36">
        <v>0</v>
      </c>
      <c r="Z322" s="36">
        <v>0</v>
      </c>
      <c r="AA322" s="36">
        <v>0</v>
      </c>
      <c r="AB322" s="36">
        <v>0</v>
      </c>
      <c r="AC322" s="36">
        <v>0</v>
      </c>
      <c r="AD322" s="36">
        <v>0</v>
      </c>
      <c r="AE322" s="36">
        <v>0</v>
      </c>
      <c r="AF322" s="36">
        <v>0</v>
      </c>
      <c r="AG322" s="36">
        <v>0</v>
      </c>
      <c r="AH322" s="36">
        <v>0</v>
      </c>
      <c r="AI322" s="36">
        <v>0</v>
      </c>
      <c r="AJ322" s="36">
        <v>0</v>
      </c>
      <c r="AK322" s="36">
        <v>0</v>
      </c>
      <c r="AL322" s="36">
        <v>0</v>
      </c>
      <c r="AM322" s="36">
        <v>0</v>
      </c>
      <c r="AN322" s="36">
        <v>0</v>
      </c>
      <c r="AO322" s="36">
        <v>0</v>
      </c>
      <c r="AP322" s="36">
        <v>0</v>
      </c>
      <c r="AQ322" s="36">
        <v>0</v>
      </c>
      <c r="AR322" s="36">
        <v>0</v>
      </c>
      <c r="AS322" s="36">
        <v>0</v>
      </c>
      <c r="AT322" s="36">
        <v>0</v>
      </c>
      <c r="AU322" s="36">
        <v>0</v>
      </c>
      <c r="AV322" s="36">
        <v>0</v>
      </c>
      <c r="AW322" s="36">
        <v>0</v>
      </c>
      <c r="AX322" s="36">
        <v>0</v>
      </c>
      <c r="AY322" s="36">
        <v>0</v>
      </c>
      <c r="AZ322" s="36">
        <v>0</v>
      </c>
    </row>
    <row r="323" spans="2:52" ht="17" customHeight="1" x14ac:dyDescent="0.45">
      <c r="B323" s="8" t="s">
        <v>136</v>
      </c>
      <c r="C323" s="30" t="s">
        <v>5</v>
      </c>
      <c r="D323" s="17" t="str">
        <f>IF('TECHNOLOGY REGISTER'!D18="","",'TECHNOLOGY REGISTER'!D18)</f>
        <v>Distribution</v>
      </c>
      <c r="E323" s="37" t="s">
        <v>53</v>
      </c>
      <c r="F323" s="24" t="str">
        <f t="shared" si="2"/>
        <v>Mn KES/MW</v>
      </c>
      <c r="G323" s="37">
        <v>4.0985279999999999</v>
      </c>
      <c r="H323" s="37">
        <v>4.0985279999999999</v>
      </c>
      <c r="I323" s="37">
        <v>4.0985279999999999</v>
      </c>
      <c r="J323" s="37">
        <v>4.0985279999999999</v>
      </c>
      <c r="K323" s="37">
        <v>4.0985279999999999</v>
      </c>
      <c r="L323" s="37">
        <v>4.0985279999999999</v>
      </c>
      <c r="M323" s="37">
        <v>4.0985279999999999</v>
      </c>
      <c r="N323" s="37">
        <v>4.0985279999999999</v>
      </c>
      <c r="O323" s="37">
        <v>4.0985279999999999</v>
      </c>
      <c r="P323" s="37">
        <v>4.0985279999999999</v>
      </c>
      <c r="Q323" s="37">
        <v>4.0985279999999999</v>
      </c>
      <c r="R323" s="37">
        <v>4.0985279999999999</v>
      </c>
      <c r="S323" s="37">
        <v>4.0985279999999999</v>
      </c>
      <c r="T323" s="37">
        <v>4.0985279999999999</v>
      </c>
      <c r="U323" s="37">
        <v>4.0985279999999999</v>
      </c>
      <c r="V323" s="37">
        <v>4.0985279999999999</v>
      </c>
      <c r="W323" s="37">
        <v>4.0985279999999999</v>
      </c>
      <c r="X323" s="37">
        <v>4.0985279999999999</v>
      </c>
      <c r="Y323" s="37">
        <v>4.0985279999999999</v>
      </c>
      <c r="Z323" s="37">
        <v>4.0985279999999999</v>
      </c>
      <c r="AA323" s="37">
        <v>4.0985279999999999</v>
      </c>
      <c r="AB323" s="37">
        <v>4.0985279999999999</v>
      </c>
      <c r="AC323" s="37">
        <v>4.0985279999999999</v>
      </c>
      <c r="AD323" s="37">
        <v>4.0985279999999999</v>
      </c>
      <c r="AE323" s="37">
        <v>4.0985279999999999</v>
      </c>
      <c r="AF323" s="37">
        <v>4.0985279999999999</v>
      </c>
      <c r="AG323" s="37">
        <v>4.0985279999999999</v>
      </c>
      <c r="AH323" s="37">
        <v>4.0985279999999999</v>
      </c>
      <c r="AI323" s="37">
        <v>4.0985279999999999</v>
      </c>
      <c r="AJ323" s="37">
        <v>4.0985279999999999</v>
      </c>
      <c r="AK323" s="37">
        <v>4.0985279999999999</v>
      </c>
      <c r="AL323" s="37">
        <v>4.0985279999999999</v>
      </c>
      <c r="AM323" s="37">
        <v>4.0985279999999999</v>
      </c>
      <c r="AN323" s="37">
        <v>4.0985279999999999</v>
      </c>
      <c r="AO323" s="37">
        <v>4.0985279999999999</v>
      </c>
      <c r="AP323" s="37">
        <v>4.0985279999999999</v>
      </c>
      <c r="AQ323" s="37">
        <v>4.0985279999999999</v>
      </c>
      <c r="AR323" s="37">
        <v>4.0985279999999999</v>
      </c>
      <c r="AS323" s="37">
        <v>4.0985279999999999</v>
      </c>
      <c r="AT323" s="37">
        <v>4.0985279999999999</v>
      </c>
      <c r="AU323" s="37">
        <v>4.0985279999999999</v>
      </c>
      <c r="AV323" s="37">
        <v>4.0985279999999999</v>
      </c>
      <c r="AW323" s="37">
        <v>4.0985279999999999</v>
      </c>
      <c r="AX323" s="37">
        <v>4.0985279999999999</v>
      </c>
      <c r="AY323" s="37">
        <v>4.0985279999999999</v>
      </c>
      <c r="AZ323" s="37">
        <v>4.0985279999999999</v>
      </c>
    </row>
    <row r="324" spans="2:52" ht="17" customHeight="1" x14ac:dyDescent="0.45">
      <c r="B324" s="33" t="s">
        <v>136</v>
      </c>
      <c r="C324" s="29" t="s">
        <v>5</v>
      </c>
      <c r="D324" s="19" t="str">
        <f>IF('TECHNOLOGY REGISTER'!D19="","",'TECHNOLOGY REGISTER'!D19)</f>
        <v>Imports</v>
      </c>
      <c r="E324" s="36"/>
      <c r="F324" s="32" t="str">
        <f t="shared" si="2"/>
        <v/>
      </c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</row>
    <row r="325" spans="2:52" ht="17" customHeight="1" x14ac:dyDescent="0.45">
      <c r="B325" s="8" t="s">
        <v>136</v>
      </c>
      <c r="C325" s="30" t="s">
        <v>5</v>
      </c>
      <c r="D325" s="17" t="str">
        <f>IF('TECHNOLOGY REGISTER'!D20="","",'TECHNOLOGY REGISTER'!D20)</f>
        <v>Energy Exports</v>
      </c>
      <c r="E325" s="37"/>
      <c r="F325" s="24" t="str">
        <f t="shared" si="2"/>
        <v/>
      </c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</row>
    <row r="326" spans="2:52" ht="17" customHeight="1" x14ac:dyDescent="0.45">
      <c r="B326" s="33" t="s">
        <v>136</v>
      </c>
      <c r="C326" s="29" t="s">
        <v>5</v>
      </c>
      <c r="D326" s="19" t="str">
        <f>IF('TECHNOLOGY REGISTER'!D21="","",'TECHNOLOGY REGISTER'!D21)</f>
        <v>Direct Solar</v>
      </c>
      <c r="E326" s="36"/>
      <c r="F326" s="32" t="str">
        <f t="shared" si="2"/>
        <v/>
      </c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</row>
    <row r="327" spans="2:52" ht="15" customHeight="1" x14ac:dyDescent="0.45">
      <c r="B327" s="8" t="s">
        <v>136</v>
      </c>
      <c r="C327" s="30" t="s">
        <v>5</v>
      </c>
      <c r="D327" s="17" t="str">
        <f>IF('TECHNOLOGY REGISTER'!D22="","",'TECHNOLOGY REGISTER'!D22)</f>
        <v>Direct Oil</v>
      </c>
      <c r="E327" s="16"/>
      <c r="F327" s="24" t="str">
        <f t="shared" si="2"/>
        <v/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</row>
    <row r="328" spans="2:52" ht="15" customHeight="1" x14ac:dyDescent="0.45">
      <c r="B328" s="33" t="s">
        <v>136</v>
      </c>
      <c r="C328" s="29" t="s">
        <v>5</v>
      </c>
      <c r="D328" s="19" t="str">
        <f>IF('TECHNOLOGY REGISTER'!D23="","",'TECHNOLOGY REGISTER'!D23)</f>
        <v>Direct Hydro</v>
      </c>
      <c r="E328" s="18"/>
      <c r="F328" s="32" t="str">
        <f t="shared" si="2"/>
        <v/>
      </c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</row>
    <row r="329" spans="2:52" ht="15" customHeight="1" x14ac:dyDescent="0.45">
      <c r="B329" s="8" t="s">
        <v>136</v>
      </c>
      <c r="C329" s="30" t="s">
        <v>5</v>
      </c>
      <c r="D329" s="17" t="str">
        <f>IF('TECHNOLOGY REGISTER'!D24="","",'TECHNOLOGY REGISTER'!D24)</f>
        <v/>
      </c>
      <c r="E329" s="16"/>
      <c r="F329" s="24" t="str">
        <f t="shared" si="2"/>
        <v/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</row>
    <row r="330" spans="2:52" ht="15" customHeight="1" x14ac:dyDescent="0.45">
      <c r="B330" s="33" t="s">
        <v>136</v>
      </c>
      <c r="C330" s="29" t="s">
        <v>5</v>
      </c>
      <c r="D330" s="19" t="str">
        <f>IF('TECHNOLOGY REGISTER'!D25="","",'TECHNOLOGY REGISTER'!D25)</f>
        <v/>
      </c>
      <c r="E330" s="18"/>
      <c r="F330" s="32" t="str">
        <f t="shared" si="2"/>
        <v/>
      </c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</row>
    <row r="331" spans="2:52" ht="15" customHeight="1" x14ac:dyDescent="0.45">
      <c r="B331" s="8" t="s">
        <v>136</v>
      </c>
      <c r="C331" s="30" t="s">
        <v>5</v>
      </c>
      <c r="D331" s="17" t="str">
        <f>IF('TECHNOLOGY REGISTER'!D26="","",'TECHNOLOGY REGISTER'!D26)</f>
        <v/>
      </c>
      <c r="E331" s="16"/>
      <c r="F331" s="24" t="str">
        <f t="shared" si="2"/>
        <v/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</row>
    <row r="332" spans="2:52" ht="15" customHeight="1" x14ac:dyDescent="0.45">
      <c r="B332" s="33" t="s">
        <v>136</v>
      </c>
      <c r="C332" s="29" t="s">
        <v>5</v>
      </c>
      <c r="D332" s="19" t="str">
        <f>IF('TECHNOLOGY REGISTER'!D27="","",'TECHNOLOGY REGISTER'!D27)</f>
        <v/>
      </c>
      <c r="E332" s="18"/>
      <c r="F332" s="32" t="str">
        <f t="shared" si="2"/>
        <v/>
      </c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</row>
    <row r="333" spans="2:52" ht="15" customHeight="1" x14ac:dyDescent="0.45">
      <c r="B333" s="8" t="s">
        <v>136</v>
      </c>
      <c r="C333" s="30" t="s">
        <v>5</v>
      </c>
      <c r="D333" s="17" t="str">
        <f>IF('TECHNOLOGY REGISTER'!D28="","",'TECHNOLOGY REGISTER'!D28)</f>
        <v/>
      </c>
      <c r="E333" s="16"/>
      <c r="F333" s="24" t="str">
        <f t="shared" si="2"/>
        <v/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</row>
    <row r="334" spans="2:52" ht="15" customHeight="1" x14ac:dyDescent="0.45">
      <c r="B334" s="33" t="s">
        <v>136</v>
      </c>
      <c r="C334" s="29" t="s">
        <v>5</v>
      </c>
      <c r="D334" s="19" t="str">
        <f>IF('TECHNOLOGY REGISTER'!D29="","",'TECHNOLOGY REGISTER'!D29)</f>
        <v/>
      </c>
      <c r="E334" s="18"/>
      <c r="F334" s="32" t="str">
        <f t="shared" si="2"/>
        <v/>
      </c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</row>
    <row r="335" spans="2:52" ht="15" customHeight="1" x14ac:dyDescent="0.45">
      <c r="B335" s="8" t="s">
        <v>136</v>
      </c>
      <c r="C335" s="30" t="s">
        <v>5</v>
      </c>
      <c r="D335" s="17" t="str">
        <f>IF('TECHNOLOGY REGISTER'!D30="","",'TECHNOLOGY REGISTER'!D30)</f>
        <v/>
      </c>
      <c r="E335" s="16"/>
      <c r="F335" s="24" t="str">
        <f t="shared" si="2"/>
        <v/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</row>
    <row r="336" spans="2:52" ht="15" customHeight="1" x14ac:dyDescent="0.45">
      <c r="B336" s="33" t="s">
        <v>136</v>
      </c>
      <c r="C336" s="29" t="s">
        <v>5</v>
      </c>
      <c r="D336" s="19" t="str">
        <f>IF('TECHNOLOGY REGISTER'!D31="","",'TECHNOLOGY REGISTER'!D31)</f>
        <v/>
      </c>
      <c r="E336" s="18"/>
      <c r="F336" s="32" t="str">
        <f t="shared" si="2"/>
        <v/>
      </c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</row>
    <row r="337" spans="2:52" ht="15" customHeight="1" x14ac:dyDescent="0.45">
      <c r="B337" s="8" t="s">
        <v>136</v>
      </c>
      <c r="C337" s="30" t="s">
        <v>5</v>
      </c>
      <c r="D337" s="17" t="str">
        <f>IF('TECHNOLOGY REGISTER'!D32="","",'TECHNOLOGY REGISTER'!D32)</f>
        <v/>
      </c>
      <c r="E337" s="16"/>
      <c r="F337" s="24" t="str">
        <f t="shared" si="2"/>
        <v/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</row>
    <row r="338" spans="2:52" ht="15" customHeight="1" x14ac:dyDescent="0.45">
      <c r="B338" s="33" t="s">
        <v>136</v>
      </c>
      <c r="C338" s="29" t="s">
        <v>5</v>
      </c>
      <c r="D338" s="19" t="str">
        <f>IF('TECHNOLOGY REGISTER'!D33="","",'TECHNOLOGY REGISTER'!D33)</f>
        <v/>
      </c>
      <c r="E338" s="18"/>
      <c r="F338" s="32" t="str">
        <f t="shared" si="2"/>
        <v/>
      </c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</row>
    <row r="339" spans="2:52" ht="15" customHeight="1" x14ac:dyDescent="0.45">
      <c r="B339" s="8" t="s">
        <v>136</v>
      </c>
      <c r="C339" s="30" t="s">
        <v>5</v>
      </c>
      <c r="D339" s="17" t="str">
        <f>IF('TECHNOLOGY REGISTER'!D34="","",'TECHNOLOGY REGISTER'!D34)</f>
        <v/>
      </c>
      <c r="E339" s="16"/>
      <c r="F339" s="24" t="str">
        <f t="shared" si="2"/>
        <v/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</row>
    <row r="340" spans="2:52" ht="15" customHeight="1" x14ac:dyDescent="0.45">
      <c r="B340" s="33" t="s">
        <v>136</v>
      </c>
      <c r="C340" s="29" t="s">
        <v>5</v>
      </c>
      <c r="D340" s="19" t="str">
        <f>IF('TECHNOLOGY REGISTER'!D35="","",'TECHNOLOGY REGISTER'!D35)</f>
        <v/>
      </c>
      <c r="E340" s="18"/>
      <c r="F340" s="32" t="str">
        <f t="shared" si="2"/>
        <v/>
      </c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</row>
    <row r="341" spans="2:52" ht="15" customHeight="1" x14ac:dyDescent="0.45">
      <c r="B341" s="8" t="s">
        <v>136</v>
      </c>
      <c r="C341" s="30" t="s">
        <v>5</v>
      </c>
      <c r="D341" s="17" t="str">
        <f>IF('TECHNOLOGY REGISTER'!D36="","",'TECHNOLOGY REGISTER'!D36)</f>
        <v/>
      </c>
      <c r="E341" s="16"/>
      <c r="F341" s="24" t="str">
        <f t="shared" si="2"/>
        <v/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</row>
    <row r="342" spans="2:52" ht="15" customHeight="1" x14ac:dyDescent="0.45">
      <c r="B342" s="33" t="s">
        <v>136</v>
      </c>
      <c r="C342" s="29" t="s">
        <v>5</v>
      </c>
      <c r="D342" s="19" t="str">
        <f>IF('TECHNOLOGY REGISTER'!D37="","",'TECHNOLOGY REGISTER'!D37)</f>
        <v/>
      </c>
      <c r="E342" s="18"/>
      <c r="F342" s="32" t="str">
        <f t="shared" si="2"/>
        <v/>
      </c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</row>
    <row r="343" spans="2:52" ht="15" customHeight="1" x14ac:dyDescent="0.45">
      <c r="B343" s="8" t="s">
        <v>136</v>
      </c>
      <c r="C343" s="30" t="s">
        <v>5</v>
      </c>
      <c r="D343" s="17" t="str">
        <f>IF('TECHNOLOGY REGISTER'!D38="","",'TECHNOLOGY REGISTER'!D38)</f>
        <v/>
      </c>
      <c r="E343" s="16"/>
      <c r="F343" s="24" t="str">
        <f t="shared" si="2"/>
        <v/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</row>
    <row r="344" spans="2:52" ht="15" customHeight="1" x14ac:dyDescent="0.45">
      <c r="B344" s="33" t="s">
        <v>136</v>
      </c>
      <c r="C344" s="29" t="s">
        <v>5</v>
      </c>
      <c r="D344" s="19" t="str">
        <f>IF('TECHNOLOGY REGISTER'!D39="","",'TECHNOLOGY REGISTER'!D39)</f>
        <v/>
      </c>
      <c r="E344" s="18"/>
      <c r="F344" s="32" t="str">
        <f t="shared" si="2"/>
        <v/>
      </c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</row>
    <row r="345" spans="2:52" ht="15" customHeight="1" x14ac:dyDescent="0.45">
      <c r="B345" s="8" t="s">
        <v>136</v>
      </c>
      <c r="C345" s="30" t="s">
        <v>5</v>
      </c>
      <c r="D345" s="17" t="str">
        <f>IF('TECHNOLOGY REGISTER'!D40="","",'TECHNOLOGY REGISTER'!D40)</f>
        <v/>
      </c>
      <c r="E345" s="16"/>
      <c r="F345" s="24" t="str">
        <f t="shared" si="2"/>
        <v/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</row>
    <row r="346" spans="2:52" ht="15" customHeight="1" x14ac:dyDescent="0.45">
      <c r="B346" s="33" t="s">
        <v>136</v>
      </c>
      <c r="C346" s="29" t="s">
        <v>5</v>
      </c>
      <c r="D346" s="19" t="str">
        <f>IF('TECHNOLOGY REGISTER'!D41="","",'TECHNOLOGY REGISTER'!D41)</f>
        <v/>
      </c>
      <c r="E346" s="18"/>
      <c r="F346" s="32" t="str">
        <f t="shared" si="2"/>
        <v/>
      </c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</row>
    <row r="347" spans="2:52" ht="15" customHeight="1" x14ac:dyDescent="0.45">
      <c r="B347" s="8" t="s">
        <v>136</v>
      </c>
      <c r="C347" s="30" t="s">
        <v>5</v>
      </c>
      <c r="D347" s="17" t="str">
        <f>IF('TECHNOLOGY REGISTER'!D42="","",'TECHNOLOGY REGISTER'!D42)</f>
        <v/>
      </c>
      <c r="E347" s="16"/>
      <c r="F347" s="24" t="str">
        <f t="shared" si="2"/>
        <v/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</row>
    <row r="348" spans="2:52" ht="15" customHeight="1" x14ac:dyDescent="0.45">
      <c r="B348" s="33" t="s">
        <v>136</v>
      </c>
      <c r="C348" s="29" t="s">
        <v>5</v>
      </c>
      <c r="D348" s="19" t="str">
        <f>IF('TECHNOLOGY REGISTER'!D43="","",'TECHNOLOGY REGISTER'!D43)</f>
        <v/>
      </c>
      <c r="E348" s="18"/>
      <c r="F348" s="32" t="str">
        <f t="shared" si="2"/>
        <v/>
      </c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</row>
    <row r="349" spans="2:52" ht="15" customHeight="1" x14ac:dyDescent="0.45">
      <c r="B349" s="8" t="s">
        <v>136</v>
      </c>
      <c r="C349" s="30" t="s">
        <v>5</v>
      </c>
      <c r="D349" s="17" t="str">
        <f>IF('TECHNOLOGY REGISTER'!D44="","",'TECHNOLOGY REGISTER'!D44)</f>
        <v/>
      </c>
      <c r="E349" s="16"/>
      <c r="F349" s="24" t="str">
        <f t="shared" si="2"/>
        <v/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</row>
    <row r="350" spans="2:52" ht="15" customHeight="1" x14ac:dyDescent="0.45">
      <c r="B350" s="33" t="s">
        <v>136</v>
      </c>
      <c r="C350" s="29" t="s">
        <v>5</v>
      </c>
      <c r="D350" s="19" t="str">
        <f>IF('TECHNOLOGY REGISTER'!D45="","",'TECHNOLOGY REGISTER'!D45)</f>
        <v/>
      </c>
      <c r="E350" s="18"/>
      <c r="F350" s="32" t="str">
        <f t="shared" si="2"/>
        <v/>
      </c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</row>
    <row r="351" spans="2:52" ht="15" customHeight="1" x14ac:dyDescent="0.45">
      <c r="B351" s="8" t="s">
        <v>136</v>
      </c>
      <c r="C351" s="30" t="s">
        <v>5</v>
      </c>
      <c r="D351" s="17" t="str">
        <f>IF('TECHNOLOGY REGISTER'!D46="","",'TECHNOLOGY REGISTER'!D46)</f>
        <v/>
      </c>
      <c r="E351" s="16"/>
      <c r="F351" s="24" t="str">
        <f t="shared" si="2"/>
        <v/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</row>
    <row r="352" spans="2:52" ht="15" customHeight="1" x14ac:dyDescent="0.45">
      <c r="B352" s="33" t="s">
        <v>136</v>
      </c>
      <c r="C352" s="29" t="s">
        <v>5</v>
      </c>
      <c r="D352" s="19" t="str">
        <f>IF('TECHNOLOGY REGISTER'!D47="","",'TECHNOLOGY REGISTER'!D47)</f>
        <v/>
      </c>
      <c r="E352" s="18"/>
      <c r="F352" s="32" t="str">
        <f t="shared" si="2"/>
        <v/>
      </c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</row>
    <row r="353" spans="2:52" ht="15" customHeight="1" x14ac:dyDescent="0.45">
      <c r="B353" s="8" t="s">
        <v>136</v>
      </c>
      <c r="C353" s="30" t="s">
        <v>5</v>
      </c>
      <c r="D353" s="17" t="str">
        <f>IF('TECHNOLOGY REGISTER'!D48="","",'TECHNOLOGY REGISTER'!D48)</f>
        <v/>
      </c>
      <c r="E353" s="16"/>
      <c r="F353" s="24" t="str">
        <f t="shared" si="2"/>
        <v/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</row>
    <row r="354" spans="2:52" ht="15" customHeight="1" x14ac:dyDescent="0.45">
      <c r="B354" s="33" t="s">
        <v>136</v>
      </c>
      <c r="C354" s="29" t="s">
        <v>5</v>
      </c>
      <c r="D354" s="19" t="str">
        <f>IF('TECHNOLOGY REGISTER'!D49="","",'TECHNOLOGY REGISTER'!D49)</f>
        <v/>
      </c>
      <c r="E354" s="18"/>
      <c r="F354" s="32" t="str">
        <f t="shared" si="2"/>
        <v/>
      </c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</row>
    <row r="355" spans="2:52" ht="15" customHeight="1" x14ac:dyDescent="0.45">
      <c r="B355" s="8" t="s">
        <v>136</v>
      </c>
      <c r="C355" s="30" t="s">
        <v>5</v>
      </c>
      <c r="D355" s="17" t="str">
        <f>IF('TECHNOLOGY REGISTER'!D50="","",'TECHNOLOGY REGISTER'!D50)</f>
        <v/>
      </c>
      <c r="E355" s="16"/>
      <c r="F355" s="24" t="str">
        <f t="shared" si="2"/>
        <v/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</row>
    <row r="356" spans="2:52" ht="15" customHeight="1" x14ac:dyDescent="0.45">
      <c r="B356" s="33" t="s">
        <v>136</v>
      </c>
      <c r="C356" s="29" t="s">
        <v>5</v>
      </c>
      <c r="D356" s="19" t="str">
        <f>IF('TECHNOLOGY REGISTER'!D51="","",'TECHNOLOGY REGISTER'!D51)</f>
        <v/>
      </c>
      <c r="E356" s="18"/>
      <c r="F356" s="32" t="str">
        <f t="shared" si="2"/>
        <v/>
      </c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</row>
    <row r="357" spans="2:52" ht="15" customHeight="1" x14ac:dyDescent="0.45">
      <c r="B357" s="8" t="s">
        <v>136</v>
      </c>
      <c r="C357" s="30" t="s">
        <v>5</v>
      </c>
      <c r="D357" s="17" t="str">
        <f>IF('TECHNOLOGY REGISTER'!D52="","",'TECHNOLOGY REGISTER'!D52)</f>
        <v/>
      </c>
      <c r="E357" s="16"/>
      <c r="F357" s="24" t="str">
        <f t="shared" si="2"/>
        <v/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</row>
    <row r="358" spans="2:52" ht="15" customHeight="1" x14ac:dyDescent="0.45">
      <c r="B358" s="33" t="s">
        <v>136</v>
      </c>
      <c r="C358" s="29" t="s">
        <v>5</v>
      </c>
      <c r="D358" s="19" t="str">
        <f>IF('TECHNOLOGY REGISTER'!D53="","",'TECHNOLOGY REGISTER'!D53)</f>
        <v/>
      </c>
      <c r="E358" s="18"/>
      <c r="F358" s="32" t="str">
        <f t="shared" si="2"/>
        <v/>
      </c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</row>
    <row r="359" spans="2:52" ht="15" customHeight="1" x14ac:dyDescent="0.45">
      <c r="B359" s="8" t="s">
        <v>136</v>
      </c>
      <c r="C359" s="30" t="s">
        <v>5</v>
      </c>
      <c r="D359" s="17" t="str">
        <f>IF('TECHNOLOGY REGISTER'!D54="","",'TECHNOLOGY REGISTER'!D54)</f>
        <v/>
      </c>
      <c r="E359" s="16"/>
      <c r="F359" s="24" t="str">
        <f t="shared" si="2"/>
        <v/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</row>
    <row r="360" spans="2:52" ht="15" customHeight="1" x14ac:dyDescent="0.45">
      <c r="B360" s="33" t="s">
        <v>136</v>
      </c>
      <c r="C360" s="29" t="s">
        <v>5</v>
      </c>
      <c r="D360" s="19" t="str">
        <f>IF('TECHNOLOGY REGISTER'!D55="","",'TECHNOLOGY REGISTER'!D55)</f>
        <v/>
      </c>
      <c r="E360" s="18"/>
      <c r="F360" s="32" t="str">
        <f t="shared" si="2"/>
        <v/>
      </c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</row>
    <row r="361" spans="2:52" ht="15" customHeight="1" thickBot="1" x14ac:dyDescent="0.5">
      <c r="B361" s="8" t="s">
        <v>136</v>
      </c>
      <c r="C361" s="30" t="s">
        <v>5</v>
      </c>
      <c r="D361" s="17" t="str">
        <f>IF('TECHNOLOGY REGISTER'!D56="","",'TECHNOLOGY REGISTER'!D56)</f>
        <v/>
      </c>
      <c r="E361" s="16"/>
      <c r="F361" s="24" t="str">
        <f t="shared" si="2"/>
        <v/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</row>
    <row r="362" spans="2:52" customFormat="1" ht="20" customHeight="1" x14ac:dyDescent="0.5">
      <c r="B362" s="69" t="s">
        <v>151</v>
      </c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  <c r="AY362" s="69"/>
      <c r="AZ362" s="69"/>
    </row>
    <row r="363" spans="2:52" ht="17" customHeight="1" x14ac:dyDescent="0.45">
      <c r="B363" s="33" t="s">
        <v>137</v>
      </c>
      <c r="C363" s="29" t="s">
        <v>5</v>
      </c>
      <c r="D363" s="19" t="str">
        <f>IF('TECHNOLOGY REGISTER'!D7="","",'TECHNOLOGY REGISTER'!D7)</f>
        <v>Biomass</v>
      </c>
      <c r="E363" s="36" t="s">
        <v>53</v>
      </c>
      <c r="F363" s="32" t="str">
        <f>IF(E363="","",E363&amp;"/kWh")</f>
        <v>KES/kWh</v>
      </c>
      <c r="G363" s="36">
        <v>0</v>
      </c>
      <c r="H363" s="36">
        <v>0</v>
      </c>
      <c r="I363" s="36">
        <v>0</v>
      </c>
      <c r="J363" s="36">
        <v>0</v>
      </c>
      <c r="K363" s="36">
        <v>0</v>
      </c>
      <c r="L363" s="36">
        <v>0</v>
      </c>
      <c r="M363" s="36">
        <v>0</v>
      </c>
      <c r="N363" s="36">
        <v>0</v>
      </c>
      <c r="O363" s="36">
        <v>0</v>
      </c>
      <c r="P363" s="36">
        <v>0</v>
      </c>
      <c r="Q363" s="36">
        <v>0</v>
      </c>
      <c r="R363" s="36">
        <v>0</v>
      </c>
      <c r="S363" s="36">
        <v>0</v>
      </c>
      <c r="T363" s="36">
        <v>0</v>
      </c>
      <c r="U363" s="36">
        <v>0</v>
      </c>
      <c r="V363" s="36">
        <v>0</v>
      </c>
      <c r="W363" s="36">
        <v>0</v>
      </c>
      <c r="X363" s="36">
        <v>0</v>
      </c>
      <c r="Y363" s="36">
        <v>0</v>
      </c>
      <c r="Z363" s="36">
        <v>0</v>
      </c>
      <c r="AA363" s="36">
        <v>0</v>
      </c>
      <c r="AB363" s="36">
        <v>0</v>
      </c>
      <c r="AC363" s="36">
        <v>0</v>
      </c>
      <c r="AD363" s="36">
        <v>0</v>
      </c>
      <c r="AE363" s="36">
        <v>0</v>
      </c>
      <c r="AF363" s="36">
        <v>0</v>
      </c>
      <c r="AG363" s="36">
        <v>0</v>
      </c>
      <c r="AH363" s="36">
        <v>0</v>
      </c>
      <c r="AI363" s="36">
        <v>0</v>
      </c>
      <c r="AJ363" s="36">
        <v>0</v>
      </c>
      <c r="AK363" s="36">
        <v>0</v>
      </c>
      <c r="AL363" s="36">
        <v>0</v>
      </c>
      <c r="AM363" s="36">
        <v>0</v>
      </c>
      <c r="AN363" s="36">
        <v>0</v>
      </c>
      <c r="AO363" s="36">
        <v>0</v>
      </c>
      <c r="AP363" s="36">
        <v>0</v>
      </c>
      <c r="AQ363" s="36">
        <v>0</v>
      </c>
      <c r="AR363" s="36">
        <v>0</v>
      </c>
      <c r="AS363" s="36">
        <v>0</v>
      </c>
      <c r="AT363" s="36">
        <v>0</v>
      </c>
      <c r="AU363" s="36">
        <v>0</v>
      </c>
      <c r="AV363" s="36">
        <v>0</v>
      </c>
      <c r="AW363" s="36">
        <v>0</v>
      </c>
      <c r="AX363" s="36">
        <v>0</v>
      </c>
      <c r="AY363" s="36">
        <v>0</v>
      </c>
      <c r="AZ363" s="36">
        <v>0</v>
      </c>
    </row>
    <row r="364" spans="2:52" ht="17" customHeight="1" x14ac:dyDescent="0.45">
      <c r="B364" s="8" t="s">
        <v>137</v>
      </c>
      <c r="C364" s="30" t="s">
        <v>5</v>
      </c>
      <c r="D364" s="17" t="str">
        <f>IF('TECHNOLOGY REGISTER'!D8="","",'TECHNOLOGY REGISTER'!D8)</f>
        <v>Geothermal</v>
      </c>
      <c r="E364" s="37" t="s">
        <v>53</v>
      </c>
      <c r="F364" s="24" t="str">
        <f t="shared" ref="F364:F412" si="3">IF(E364="","",E364&amp;"/kWh")</f>
        <v>KES/kWh</v>
      </c>
      <c r="G364" s="37">
        <v>0</v>
      </c>
      <c r="H364" s="37">
        <v>0</v>
      </c>
      <c r="I364" s="37">
        <v>0</v>
      </c>
      <c r="J364" s="37">
        <v>0</v>
      </c>
      <c r="K364" s="37">
        <v>0</v>
      </c>
      <c r="L364" s="37">
        <v>0</v>
      </c>
      <c r="M364" s="37">
        <v>0</v>
      </c>
      <c r="N364" s="37">
        <v>0</v>
      </c>
      <c r="O364" s="37">
        <v>0</v>
      </c>
      <c r="P364" s="37">
        <v>0</v>
      </c>
      <c r="Q364" s="37">
        <v>0</v>
      </c>
      <c r="R364" s="37">
        <v>0</v>
      </c>
      <c r="S364" s="37">
        <v>0</v>
      </c>
      <c r="T364" s="37">
        <v>0</v>
      </c>
      <c r="U364" s="37">
        <v>0</v>
      </c>
      <c r="V364" s="37">
        <v>0</v>
      </c>
      <c r="W364" s="37">
        <v>0</v>
      </c>
      <c r="X364" s="37">
        <v>0</v>
      </c>
      <c r="Y364" s="37">
        <v>0</v>
      </c>
      <c r="Z364" s="37">
        <v>0</v>
      </c>
      <c r="AA364" s="37">
        <v>0</v>
      </c>
      <c r="AB364" s="37">
        <v>0</v>
      </c>
      <c r="AC364" s="37">
        <v>0</v>
      </c>
      <c r="AD364" s="37">
        <v>0</v>
      </c>
      <c r="AE364" s="37">
        <v>0</v>
      </c>
      <c r="AF364" s="37">
        <v>0</v>
      </c>
      <c r="AG364" s="37">
        <v>0</v>
      </c>
      <c r="AH364" s="37">
        <v>0</v>
      </c>
      <c r="AI364" s="37">
        <v>0</v>
      </c>
      <c r="AJ364" s="37">
        <v>0</v>
      </c>
      <c r="AK364" s="37">
        <v>0</v>
      </c>
      <c r="AL364" s="37">
        <v>0</v>
      </c>
      <c r="AM364" s="37">
        <v>0</v>
      </c>
      <c r="AN364" s="37">
        <v>0</v>
      </c>
      <c r="AO364" s="37">
        <v>0</v>
      </c>
      <c r="AP364" s="37">
        <v>0</v>
      </c>
      <c r="AQ364" s="37">
        <v>0</v>
      </c>
      <c r="AR364" s="37">
        <v>0</v>
      </c>
      <c r="AS364" s="37">
        <v>0</v>
      </c>
      <c r="AT364" s="37">
        <v>0</v>
      </c>
      <c r="AU364" s="37">
        <v>0</v>
      </c>
      <c r="AV364" s="37">
        <v>0</v>
      </c>
      <c r="AW364" s="37">
        <v>0</v>
      </c>
      <c r="AX364" s="37">
        <v>0</v>
      </c>
      <c r="AY364" s="37">
        <v>0</v>
      </c>
      <c r="AZ364" s="37">
        <v>0</v>
      </c>
    </row>
    <row r="365" spans="2:52" ht="17" customHeight="1" x14ac:dyDescent="0.45">
      <c r="B365" s="33" t="s">
        <v>137</v>
      </c>
      <c r="C365" s="29" t="s">
        <v>5</v>
      </c>
      <c r="D365" s="19" t="str">
        <f>IF('TECHNOLOGY REGISTER'!D9="","",'TECHNOLOGY REGISTER'!D9)</f>
        <v>Solar PV</v>
      </c>
      <c r="E365" s="36" t="s">
        <v>53</v>
      </c>
      <c r="F365" s="32" t="str">
        <f t="shared" si="3"/>
        <v>KES/kWh</v>
      </c>
      <c r="G365" s="36">
        <v>0</v>
      </c>
      <c r="H365" s="36">
        <v>0</v>
      </c>
      <c r="I365" s="36">
        <v>0</v>
      </c>
      <c r="J365" s="36">
        <v>0</v>
      </c>
      <c r="K365" s="36">
        <v>0</v>
      </c>
      <c r="L365" s="36">
        <v>0</v>
      </c>
      <c r="M365" s="36">
        <v>0</v>
      </c>
      <c r="N365" s="36">
        <v>0</v>
      </c>
      <c r="O365" s="36">
        <v>0</v>
      </c>
      <c r="P365" s="36">
        <v>0</v>
      </c>
      <c r="Q365" s="36">
        <v>0</v>
      </c>
      <c r="R365" s="36">
        <v>0</v>
      </c>
      <c r="S365" s="36">
        <v>0</v>
      </c>
      <c r="T365" s="36">
        <v>0</v>
      </c>
      <c r="U365" s="36">
        <v>0</v>
      </c>
      <c r="V365" s="36">
        <v>0</v>
      </c>
      <c r="W365" s="36">
        <v>0</v>
      </c>
      <c r="X365" s="36">
        <v>0</v>
      </c>
      <c r="Y365" s="36">
        <v>0</v>
      </c>
      <c r="Z365" s="36">
        <v>0</v>
      </c>
      <c r="AA365" s="36">
        <v>0</v>
      </c>
      <c r="AB365" s="36">
        <v>0</v>
      </c>
      <c r="AC365" s="36">
        <v>0</v>
      </c>
      <c r="AD365" s="36">
        <v>0</v>
      </c>
      <c r="AE365" s="36">
        <v>0</v>
      </c>
      <c r="AF365" s="36">
        <v>0</v>
      </c>
      <c r="AG365" s="36">
        <v>0</v>
      </c>
      <c r="AH365" s="36">
        <v>0</v>
      </c>
      <c r="AI365" s="36">
        <v>0</v>
      </c>
      <c r="AJ365" s="36">
        <v>0</v>
      </c>
      <c r="AK365" s="36">
        <v>0</v>
      </c>
      <c r="AL365" s="36">
        <v>0</v>
      </c>
      <c r="AM365" s="36">
        <v>0</v>
      </c>
      <c r="AN365" s="36">
        <v>0</v>
      </c>
      <c r="AO365" s="36">
        <v>0</v>
      </c>
      <c r="AP365" s="36">
        <v>0</v>
      </c>
      <c r="AQ365" s="36">
        <v>0</v>
      </c>
      <c r="AR365" s="36">
        <v>0</v>
      </c>
      <c r="AS365" s="36">
        <v>0</v>
      </c>
      <c r="AT365" s="36">
        <v>0</v>
      </c>
      <c r="AU365" s="36">
        <v>0</v>
      </c>
      <c r="AV365" s="36">
        <v>0</v>
      </c>
      <c r="AW365" s="36">
        <v>0</v>
      </c>
      <c r="AX365" s="36">
        <v>0</v>
      </c>
      <c r="AY365" s="36">
        <v>0</v>
      </c>
      <c r="AZ365" s="36">
        <v>0</v>
      </c>
    </row>
    <row r="366" spans="2:52" ht="17" customHeight="1" x14ac:dyDescent="0.45">
      <c r="B366" s="8" t="s">
        <v>137</v>
      </c>
      <c r="C366" s="30" t="s">
        <v>5</v>
      </c>
      <c r="D366" s="17" t="str">
        <f>IF('TECHNOLOGY REGISTER'!D10="","",'TECHNOLOGY REGISTER'!D10)</f>
        <v>CSP</v>
      </c>
      <c r="E366" s="37" t="s">
        <v>53</v>
      </c>
      <c r="F366" s="24" t="str">
        <f t="shared" si="3"/>
        <v>KES/kWh</v>
      </c>
      <c r="G366" s="37">
        <v>0</v>
      </c>
      <c r="H366" s="37">
        <v>0</v>
      </c>
      <c r="I366" s="37">
        <v>0</v>
      </c>
      <c r="J366" s="37">
        <v>0</v>
      </c>
      <c r="K366" s="37">
        <v>0</v>
      </c>
      <c r="L366" s="37">
        <v>0</v>
      </c>
      <c r="M366" s="37">
        <v>0</v>
      </c>
      <c r="N366" s="37">
        <v>0</v>
      </c>
      <c r="O366" s="37">
        <v>0</v>
      </c>
      <c r="P366" s="37">
        <v>0</v>
      </c>
      <c r="Q366" s="37">
        <v>0</v>
      </c>
      <c r="R366" s="37">
        <v>0</v>
      </c>
      <c r="S366" s="37">
        <v>0</v>
      </c>
      <c r="T366" s="37">
        <v>0</v>
      </c>
      <c r="U366" s="37">
        <v>0</v>
      </c>
      <c r="V366" s="37">
        <v>0</v>
      </c>
      <c r="W366" s="37">
        <v>0</v>
      </c>
      <c r="X366" s="37">
        <v>0</v>
      </c>
      <c r="Y366" s="37">
        <v>0</v>
      </c>
      <c r="Z366" s="37">
        <v>0</v>
      </c>
      <c r="AA366" s="37">
        <v>0</v>
      </c>
      <c r="AB366" s="37">
        <v>0</v>
      </c>
      <c r="AC366" s="37">
        <v>0</v>
      </c>
      <c r="AD366" s="37">
        <v>0</v>
      </c>
      <c r="AE366" s="37">
        <v>0</v>
      </c>
      <c r="AF366" s="37">
        <v>0</v>
      </c>
      <c r="AG366" s="37">
        <v>0</v>
      </c>
      <c r="AH366" s="37">
        <v>0</v>
      </c>
      <c r="AI366" s="37">
        <v>0</v>
      </c>
      <c r="AJ366" s="37">
        <v>0</v>
      </c>
      <c r="AK366" s="37">
        <v>0</v>
      </c>
      <c r="AL366" s="37">
        <v>0</v>
      </c>
      <c r="AM366" s="37">
        <v>0</v>
      </c>
      <c r="AN366" s="37">
        <v>0</v>
      </c>
      <c r="AO366" s="37">
        <v>0</v>
      </c>
      <c r="AP366" s="37">
        <v>0</v>
      </c>
      <c r="AQ366" s="37">
        <v>0</v>
      </c>
      <c r="AR366" s="37">
        <v>0</v>
      </c>
      <c r="AS366" s="37">
        <v>0</v>
      </c>
      <c r="AT366" s="37">
        <v>0</v>
      </c>
      <c r="AU366" s="37">
        <v>0</v>
      </c>
      <c r="AV366" s="37">
        <v>0</v>
      </c>
      <c r="AW366" s="37">
        <v>0</v>
      </c>
      <c r="AX366" s="37">
        <v>0</v>
      </c>
      <c r="AY366" s="37">
        <v>0</v>
      </c>
      <c r="AZ366" s="37">
        <v>0</v>
      </c>
    </row>
    <row r="367" spans="2:52" ht="17" customHeight="1" x14ac:dyDescent="0.45">
      <c r="B367" s="33" t="s">
        <v>137</v>
      </c>
      <c r="C367" s="29" t="s">
        <v>5</v>
      </c>
      <c r="D367" s="19" t="str">
        <f>IF('TECHNOLOGY REGISTER'!D11="","",'TECHNOLOGY REGISTER'!D11)</f>
        <v>Hydropower</v>
      </c>
      <c r="E367" s="36" t="s">
        <v>53</v>
      </c>
      <c r="F367" s="32" t="str">
        <f t="shared" si="3"/>
        <v>KES/kWh</v>
      </c>
      <c r="G367" s="36">
        <v>0</v>
      </c>
      <c r="H367" s="36">
        <v>0</v>
      </c>
      <c r="I367" s="36">
        <v>0</v>
      </c>
      <c r="J367" s="36">
        <v>0</v>
      </c>
      <c r="K367" s="36">
        <v>0</v>
      </c>
      <c r="L367" s="36">
        <v>0</v>
      </c>
      <c r="M367" s="36">
        <v>0</v>
      </c>
      <c r="N367" s="36">
        <v>0</v>
      </c>
      <c r="O367" s="36">
        <v>0</v>
      </c>
      <c r="P367" s="36">
        <v>0</v>
      </c>
      <c r="Q367" s="36">
        <v>0</v>
      </c>
      <c r="R367" s="36">
        <v>0</v>
      </c>
      <c r="S367" s="36">
        <v>0</v>
      </c>
      <c r="T367" s="36">
        <v>0</v>
      </c>
      <c r="U367" s="36">
        <v>0</v>
      </c>
      <c r="V367" s="36">
        <v>0</v>
      </c>
      <c r="W367" s="36">
        <v>0</v>
      </c>
      <c r="X367" s="36">
        <v>0</v>
      </c>
      <c r="Y367" s="36">
        <v>0</v>
      </c>
      <c r="Z367" s="36">
        <v>0</v>
      </c>
      <c r="AA367" s="36">
        <v>0</v>
      </c>
      <c r="AB367" s="36">
        <v>0</v>
      </c>
      <c r="AC367" s="36">
        <v>0</v>
      </c>
      <c r="AD367" s="36">
        <v>0</v>
      </c>
      <c r="AE367" s="36">
        <v>0</v>
      </c>
      <c r="AF367" s="36">
        <v>0</v>
      </c>
      <c r="AG367" s="36">
        <v>0</v>
      </c>
      <c r="AH367" s="36">
        <v>0</v>
      </c>
      <c r="AI367" s="36">
        <v>0</v>
      </c>
      <c r="AJ367" s="36">
        <v>0</v>
      </c>
      <c r="AK367" s="36">
        <v>0</v>
      </c>
      <c r="AL367" s="36">
        <v>0</v>
      </c>
      <c r="AM367" s="36">
        <v>0</v>
      </c>
      <c r="AN367" s="36">
        <v>0</v>
      </c>
      <c r="AO367" s="36">
        <v>0</v>
      </c>
      <c r="AP367" s="36">
        <v>0</v>
      </c>
      <c r="AQ367" s="36">
        <v>0</v>
      </c>
      <c r="AR367" s="36">
        <v>0</v>
      </c>
      <c r="AS367" s="36">
        <v>0</v>
      </c>
      <c r="AT367" s="36">
        <v>0</v>
      </c>
      <c r="AU367" s="36">
        <v>0</v>
      </c>
      <c r="AV367" s="36">
        <v>0</v>
      </c>
      <c r="AW367" s="36">
        <v>0</v>
      </c>
      <c r="AX367" s="36">
        <v>0</v>
      </c>
      <c r="AY367" s="36">
        <v>0</v>
      </c>
      <c r="AZ367" s="36">
        <v>0</v>
      </c>
    </row>
    <row r="368" spans="2:52" ht="17" customHeight="1" x14ac:dyDescent="0.45">
      <c r="B368" s="8" t="s">
        <v>137</v>
      </c>
      <c r="C368" s="30" t="s">
        <v>5</v>
      </c>
      <c r="D368" s="17" t="str">
        <f>IF('TECHNOLOGY REGISTER'!D12="","",'TECHNOLOGY REGISTER'!D12)</f>
        <v>Nuclear</v>
      </c>
      <c r="E368" s="37" t="s">
        <v>53</v>
      </c>
      <c r="F368" s="24" t="str">
        <f t="shared" si="3"/>
        <v>KES/kWh</v>
      </c>
      <c r="G368" s="37">
        <v>0</v>
      </c>
      <c r="H368" s="37">
        <v>0</v>
      </c>
      <c r="I368" s="37">
        <v>0</v>
      </c>
      <c r="J368" s="37">
        <v>0</v>
      </c>
      <c r="K368" s="37">
        <v>0</v>
      </c>
      <c r="L368" s="37">
        <v>0</v>
      </c>
      <c r="M368" s="37">
        <v>0</v>
      </c>
      <c r="N368" s="37">
        <v>0</v>
      </c>
      <c r="O368" s="37">
        <v>0</v>
      </c>
      <c r="P368" s="37">
        <v>0</v>
      </c>
      <c r="Q368" s="37">
        <v>0</v>
      </c>
      <c r="R368" s="37">
        <v>0</v>
      </c>
      <c r="S368" s="37">
        <v>0</v>
      </c>
      <c r="T368" s="37">
        <v>0</v>
      </c>
      <c r="U368" s="37">
        <v>0</v>
      </c>
      <c r="V368" s="37">
        <v>0</v>
      </c>
      <c r="W368" s="37">
        <v>0</v>
      </c>
      <c r="X368" s="37">
        <v>0</v>
      </c>
      <c r="Y368" s="37">
        <v>0</v>
      </c>
      <c r="Z368" s="37">
        <v>0</v>
      </c>
      <c r="AA368" s="37">
        <v>0</v>
      </c>
      <c r="AB368" s="37">
        <v>0</v>
      </c>
      <c r="AC368" s="37">
        <v>0</v>
      </c>
      <c r="AD368" s="37">
        <v>0</v>
      </c>
      <c r="AE368" s="37">
        <v>0</v>
      </c>
      <c r="AF368" s="37">
        <v>0</v>
      </c>
      <c r="AG368" s="37">
        <v>0</v>
      </c>
      <c r="AH368" s="37">
        <v>0</v>
      </c>
      <c r="AI368" s="37">
        <v>0</v>
      </c>
      <c r="AJ368" s="37">
        <v>0</v>
      </c>
      <c r="AK368" s="37">
        <v>0</v>
      </c>
      <c r="AL368" s="37">
        <v>0</v>
      </c>
      <c r="AM368" s="37">
        <v>0</v>
      </c>
      <c r="AN368" s="37">
        <v>0</v>
      </c>
      <c r="AO368" s="37">
        <v>0</v>
      </c>
      <c r="AP368" s="37">
        <v>0</v>
      </c>
      <c r="AQ368" s="37">
        <v>0</v>
      </c>
      <c r="AR368" s="37">
        <v>0</v>
      </c>
      <c r="AS368" s="37">
        <v>0</v>
      </c>
      <c r="AT368" s="37">
        <v>0</v>
      </c>
      <c r="AU368" s="37">
        <v>0</v>
      </c>
      <c r="AV368" s="37">
        <v>0</v>
      </c>
      <c r="AW368" s="37">
        <v>0</v>
      </c>
      <c r="AX368" s="37">
        <v>0</v>
      </c>
      <c r="AY368" s="37">
        <v>0</v>
      </c>
      <c r="AZ368" s="37">
        <v>0</v>
      </c>
    </row>
    <row r="369" spans="2:52" ht="17" customHeight="1" x14ac:dyDescent="0.45">
      <c r="B369" s="33" t="s">
        <v>137</v>
      </c>
      <c r="C369" s="29" t="s">
        <v>5</v>
      </c>
      <c r="D369" s="19" t="str">
        <f>IF('TECHNOLOGY REGISTER'!D13="","",'TECHNOLOGY REGISTER'!D13)</f>
        <v>Wind</v>
      </c>
      <c r="E369" s="36" t="s">
        <v>53</v>
      </c>
      <c r="F369" s="32" t="str">
        <f t="shared" si="3"/>
        <v>KES/kWh</v>
      </c>
      <c r="G369" s="36">
        <v>0</v>
      </c>
      <c r="H369" s="36">
        <v>0</v>
      </c>
      <c r="I369" s="36">
        <v>0</v>
      </c>
      <c r="J369" s="36">
        <v>0</v>
      </c>
      <c r="K369" s="36">
        <v>0</v>
      </c>
      <c r="L369" s="36">
        <v>0</v>
      </c>
      <c r="M369" s="36">
        <v>0</v>
      </c>
      <c r="N369" s="36">
        <v>0</v>
      </c>
      <c r="O369" s="36">
        <v>0</v>
      </c>
      <c r="P369" s="36">
        <v>0</v>
      </c>
      <c r="Q369" s="36">
        <v>0</v>
      </c>
      <c r="R369" s="36">
        <v>0</v>
      </c>
      <c r="S369" s="36">
        <v>0</v>
      </c>
      <c r="T369" s="36">
        <v>0</v>
      </c>
      <c r="U369" s="36">
        <v>0</v>
      </c>
      <c r="V369" s="36">
        <v>0</v>
      </c>
      <c r="W369" s="36">
        <v>0</v>
      </c>
      <c r="X369" s="36">
        <v>0</v>
      </c>
      <c r="Y369" s="36">
        <v>0</v>
      </c>
      <c r="Z369" s="36">
        <v>0</v>
      </c>
      <c r="AA369" s="36">
        <v>0</v>
      </c>
      <c r="AB369" s="36">
        <v>0</v>
      </c>
      <c r="AC369" s="36">
        <v>0</v>
      </c>
      <c r="AD369" s="36">
        <v>0</v>
      </c>
      <c r="AE369" s="36">
        <v>0</v>
      </c>
      <c r="AF369" s="36">
        <v>0</v>
      </c>
      <c r="AG369" s="36">
        <v>0</v>
      </c>
      <c r="AH369" s="36">
        <v>0</v>
      </c>
      <c r="AI369" s="36">
        <v>0</v>
      </c>
      <c r="AJ369" s="36">
        <v>0</v>
      </c>
      <c r="AK369" s="36">
        <v>0</v>
      </c>
      <c r="AL369" s="36">
        <v>0</v>
      </c>
      <c r="AM369" s="36">
        <v>0</v>
      </c>
      <c r="AN369" s="36">
        <v>0</v>
      </c>
      <c r="AO369" s="36">
        <v>0</v>
      </c>
      <c r="AP369" s="36">
        <v>0</v>
      </c>
      <c r="AQ369" s="36">
        <v>0</v>
      </c>
      <c r="AR369" s="36">
        <v>0</v>
      </c>
      <c r="AS369" s="36">
        <v>0</v>
      </c>
      <c r="AT369" s="36">
        <v>0</v>
      </c>
      <c r="AU369" s="36">
        <v>0</v>
      </c>
      <c r="AV369" s="36">
        <v>0</v>
      </c>
      <c r="AW369" s="36">
        <v>0</v>
      </c>
      <c r="AX369" s="36">
        <v>0</v>
      </c>
      <c r="AY369" s="36">
        <v>0</v>
      </c>
      <c r="AZ369" s="36">
        <v>0</v>
      </c>
    </row>
    <row r="370" spans="2:52" ht="17" customHeight="1" x14ac:dyDescent="0.45">
      <c r="B370" s="8" t="s">
        <v>137</v>
      </c>
      <c r="C370" s="30" t="s">
        <v>5</v>
      </c>
      <c r="D370" s="17" t="str">
        <f>IF('TECHNOLOGY REGISTER'!D14="","",'TECHNOLOGY REGISTER'!D14)</f>
        <v>Coal</v>
      </c>
      <c r="E370" s="37" t="s">
        <v>53</v>
      </c>
      <c r="F370" s="24" t="str">
        <f t="shared" si="3"/>
        <v>KES/kWh</v>
      </c>
      <c r="G370" s="37">
        <v>0</v>
      </c>
      <c r="H370" s="37">
        <v>0</v>
      </c>
      <c r="I370" s="37">
        <v>0</v>
      </c>
      <c r="J370" s="37">
        <v>0</v>
      </c>
      <c r="K370" s="37">
        <v>0</v>
      </c>
      <c r="L370" s="37">
        <v>0</v>
      </c>
      <c r="M370" s="37">
        <v>0</v>
      </c>
      <c r="N370" s="37">
        <v>0</v>
      </c>
      <c r="O370" s="37">
        <v>0</v>
      </c>
      <c r="P370" s="37">
        <v>0</v>
      </c>
      <c r="Q370" s="37">
        <v>0</v>
      </c>
      <c r="R370" s="37">
        <v>0</v>
      </c>
      <c r="S370" s="37">
        <v>0</v>
      </c>
      <c r="T370" s="37">
        <v>0</v>
      </c>
      <c r="U370" s="37">
        <v>0</v>
      </c>
      <c r="V370" s="37">
        <v>0</v>
      </c>
      <c r="W370" s="37">
        <v>0</v>
      </c>
      <c r="X370" s="37">
        <v>0</v>
      </c>
      <c r="Y370" s="37">
        <v>0</v>
      </c>
      <c r="Z370" s="37">
        <v>0</v>
      </c>
      <c r="AA370" s="37">
        <v>0</v>
      </c>
      <c r="AB370" s="37">
        <v>0</v>
      </c>
      <c r="AC370" s="37">
        <v>0</v>
      </c>
      <c r="AD370" s="37">
        <v>0</v>
      </c>
      <c r="AE370" s="37">
        <v>0</v>
      </c>
      <c r="AF370" s="37">
        <v>0</v>
      </c>
      <c r="AG370" s="37">
        <v>0</v>
      </c>
      <c r="AH370" s="37">
        <v>0</v>
      </c>
      <c r="AI370" s="37">
        <v>0</v>
      </c>
      <c r="AJ370" s="37">
        <v>0</v>
      </c>
      <c r="AK370" s="37">
        <v>0</v>
      </c>
      <c r="AL370" s="37">
        <v>0</v>
      </c>
      <c r="AM370" s="37">
        <v>0</v>
      </c>
      <c r="AN370" s="37">
        <v>0</v>
      </c>
      <c r="AO370" s="37">
        <v>0</v>
      </c>
      <c r="AP370" s="37">
        <v>0</v>
      </c>
      <c r="AQ370" s="37">
        <v>0</v>
      </c>
      <c r="AR370" s="37">
        <v>0</v>
      </c>
      <c r="AS370" s="37">
        <v>0</v>
      </c>
      <c r="AT370" s="37">
        <v>0</v>
      </c>
      <c r="AU370" s="37">
        <v>0</v>
      </c>
      <c r="AV370" s="37">
        <v>0</v>
      </c>
      <c r="AW370" s="37">
        <v>0</v>
      </c>
      <c r="AX370" s="37">
        <v>0</v>
      </c>
      <c r="AY370" s="37">
        <v>0</v>
      </c>
      <c r="AZ370" s="37">
        <v>0</v>
      </c>
    </row>
    <row r="371" spans="2:52" ht="17" customHeight="1" x14ac:dyDescent="0.45">
      <c r="B371" s="33" t="s">
        <v>137</v>
      </c>
      <c r="C371" s="29" t="s">
        <v>5</v>
      </c>
      <c r="D371" s="19" t="str">
        <f>IF('TECHNOLOGY REGISTER'!D15="","",'TECHNOLOGY REGISTER'!D15)</f>
        <v>Oil</v>
      </c>
      <c r="E371" s="36" t="s">
        <v>53</v>
      </c>
      <c r="F371" s="32" t="str">
        <f t="shared" si="3"/>
        <v>KES/kWh</v>
      </c>
      <c r="G371" s="36">
        <v>0</v>
      </c>
      <c r="H371" s="36">
        <v>0</v>
      </c>
      <c r="I371" s="36">
        <v>0</v>
      </c>
      <c r="J371" s="36">
        <v>0</v>
      </c>
      <c r="K371" s="36">
        <v>0</v>
      </c>
      <c r="L371" s="36">
        <v>0</v>
      </c>
      <c r="M371" s="36">
        <v>0</v>
      </c>
      <c r="N371" s="36">
        <v>0</v>
      </c>
      <c r="O371" s="36">
        <v>0</v>
      </c>
      <c r="P371" s="36">
        <v>0</v>
      </c>
      <c r="Q371" s="36">
        <v>0</v>
      </c>
      <c r="R371" s="36">
        <v>0</v>
      </c>
      <c r="S371" s="36">
        <v>0</v>
      </c>
      <c r="T371" s="36">
        <v>0</v>
      </c>
      <c r="U371" s="36">
        <v>0</v>
      </c>
      <c r="V371" s="36">
        <v>0</v>
      </c>
      <c r="W371" s="36">
        <v>0</v>
      </c>
      <c r="X371" s="36">
        <v>0</v>
      </c>
      <c r="Y371" s="36">
        <v>0</v>
      </c>
      <c r="Z371" s="36">
        <v>0</v>
      </c>
      <c r="AA371" s="36">
        <v>0</v>
      </c>
      <c r="AB371" s="36">
        <v>0</v>
      </c>
      <c r="AC371" s="36">
        <v>0</v>
      </c>
      <c r="AD371" s="36">
        <v>0</v>
      </c>
      <c r="AE371" s="36">
        <v>0</v>
      </c>
      <c r="AF371" s="36">
        <v>0</v>
      </c>
      <c r="AG371" s="36">
        <v>0</v>
      </c>
      <c r="AH371" s="36">
        <v>0</v>
      </c>
      <c r="AI371" s="36">
        <v>0</v>
      </c>
      <c r="AJ371" s="36">
        <v>0</v>
      </c>
      <c r="AK371" s="36">
        <v>0</v>
      </c>
      <c r="AL371" s="36">
        <v>0</v>
      </c>
      <c r="AM371" s="36">
        <v>0</v>
      </c>
      <c r="AN371" s="36">
        <v>0</v>
      </c>
      <c r="AO371" s="36">
        <v>0</v>
      </c>
      <c r="AP371" s="36">
        <v>0</v>
      </c>
      <c r="AQ371" s="36">
        <v>0</v>
      </c>
      <c r="AR371" s="36">
        <v>0</v>
      </c>
      <c r="AS371" s="36">
        <v>0</v>
      </c>
      <c r="AT371" s="36">
        <v>0</v>
      </c>
      <c r="AU371" s="36">
        <v>0</v>
      </c>
      <c r="AV371" s="36">
        <v>0</v>
      </c>
      <c r="AW371" s="36">
        <v>0</v>
      </c>
      <c r="AX371" s="36">
        <v>0</v>
      </c>
      <c r="AY371" s="36">
        <v>0</v>
      </c>
      <c r="AZ371" s="36">
        <v>0</v>
      </c>
    </row>
    <row r="372" spans="2:52" ht="17" customHeight="1" x14ac:dyDescent="0.45">
      <c r="B372" s="8" t="s">
        <v>137</v>
      </c>
      <c r="C372" s="30" t="s">
        <v>5</v>
      </c>
      <c r="D372" s="17" t="str">
        <f>IF('TECHNOLOGY REGISTER'!D16="","",'TECHNOLOGY REGISTER'!D16)</f>
        <v>Gas</v>
      </c>
      <c r="E372" s="37" t="s">
        <v>53</v>
      </c>
      <c r="F372" s="24" t="str">
        <f t="shared" si="3"/>
        <v>KES/kWh</v>
      </c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</row>
    <row r="373" spans="2:52" ht="17" customHeight="1" x14ac:dyDescent="0.45">
      <c r="B373" s="33" t="s">
        <v>137</v>
      </c>
      <c r="C373" s="29" t="s">
        <v>5</v>
      </c>
      <c r="D373" s="19" t="str">
        <f>IF('TECHNOLOGY REGISTER'!D17="","",'TECHNOLOGY REGISTER'!D17)</f>
        <v>Transmission</v>
      </c>
      <c r="E373" s="36" t="s">
        <v>53</v>
      </c>
      <c r="F373" s="32" t="str">
        <f t="shared" si="3"/>
        <v>KES/kWh</v>
      </c>
      <c r="G373" s="36">
        <v>0</v>
      </c>
      <c r="H373" s="36">
        <v>0</v>
      </c>
      <c r="I373" s="36">
        <v>0</v>
      </c>
      <c r="J373" s="36">
        <v>0</v>
      </c>
      <c r="K373" s="36">
        <v>0</v>
      </c>
      <c r="L373" s="36">
        <v>0</v>
      </c>
      <c r="M373" s="36">
        <v>0</v>
      </c>
      <c r="N373" s="36">
        <v>0</v>
      </c>
      <c r="O373" s="36">
        <v>0</v>
      </c>
      <c r="P373" s="36">
        <v>0</v>
      </c>
      <c r="Q373" s="36">
        <v>0</v>
      </c>
      <c r="R373" s="36">
        <v>0</v>
      </c>
      <c r="S373" s="36">
        <v>0</v>
      </c>
      <c r="T373" s="36">
        <v>0</v>
      </c>
      <c r="U373" s="36">
        <v>0</v>
      </c>
      <c r="V373" s="36">
        <v>0</v>
      </c>
      <c r="W373" s="36">
        <v>0</v>
      </c>
      <c r="X373" s="36">
        <v>0</v>
      </c>
      <c r="Y373" s="36">
        <v>0</v>
      </c>
      <c r="Z373" s="36">
        <v>0</v>
      </c>
      <c r="AA373" s="36">
        <v>0</v>
      </c>
      <c r="AB373" s="36">
        <v>0</v>
      </c>
      <c r="AC373" s="36">
        <v>0</v>
      </c>
      <c r="AD373" s="36">
        <v>0</v>
      </c>
      <c r="AE373" s="36">
        <v>0</v>
      </c>
      <c r="AF373" s="36">
        <v>0</v>
      </c>
      <c r="AG373" s="36">
        <v>0</v>
      </c>
      <c r="AH373" s="36">
        <v>0</v>
      </c>
      <c r="AI373" s="36">
        <v>0</v>
      </c>
      <c r="AJ373" s="36">
        <v>0</v>
      </c>
      <c r="AK373" s="36">
        <v>0</v>
      </c>
      <c r="AL373" s="36">
        <v>0</v>
      </c>
      <c r="AM373" s="36">
        <v>0</v>
      </c>
      <c r="AN373" s="36">
        <v>0</v>
      </c>
      <c r="AO373" s="36">
        <v>0</v>
      </c>
      <c r="AP373" s="36">
        <v>0</v>
      </c>
      <c r="AQ373" s="36">
        <v>0</v>
      </c>
      <c r="AR373" s="36">
        <v>0</v>
      </c>
      <c r="AS373" s="36">
        <v>0</v>
      </c>
      <c r="AT373" s="36">
        <v>0</v>
      </c>
      <c r="AU373" s="36">
        <v>0</v>
      </c>
      <c r="AV373" s="36">
        <v>0</v>
      </c>
      <c r="AW373" s="36">
        <v>0</v>
      </c>
      <c r="AX373" s="36">
        <v>0</v>
      </c>
      <c r="AY373" s="36">
        <v>0</v>
      </c>
      <c r="AZ373" s="36">
        <v>0</v>
      </c>
    </row>
    <row r="374" spans="2:52" ht="17" customHeight="1" x14ac:dyDescent="0.45">
      <c r="B374" s="8" t="s">
        <v>137</v>
      </c>
      <c r="C374" s="30" t="s">
        <v>5</v>
      </c>
      <c r="D374" s="17" t="str">
        <f>IF('TECHNOLOGY REGISTER'!D18="","",'TECHNOLOGY REGISTER'!D18)</f>
        <v>Distribution</v>
      </c>
      <c r="E374" s="37" t="s">
        <v>53</v>
      </c>
      <c r="F374" s="24" t="str">
        <f t="shared" si="3"/>
        <v>KES/kWh</v>
      </c>
      <c r="G374" s="37">
        <v>0</v>
      </c>
      <c r="H374" s="37">
        <v>0</v>
      </c>
      <c r="I374" s="37">
        <v>0</v>
      </c>
      <c r="J374" s="37">
        <v>0</v>
      </c>
      <c r="K374" s="37">
        <v>0</v>
      </c>
      <c r="L374" s="37">
        <v>0</v>
      </c>
      <c r="M374" s="37">
        <v>0</v>
      </c>
      <c r="N374" s="37">
        <v>0</v>
      </c>
      <c r="O374" s="37">
        <v>0</v>
      </c>
      <c r="P374" s="37">
        <v>0</v>
      </c>
      <c r="Q374" s="37">
        <v>0</v>
      </c>
      <c r="R374" s="37">
        <v>0</v>
      </c>
      <c r="S374" s="37">
        <v>0</v>
      </c>
      <c r="T374" s="37">
        <v>0</v>
      </c>
      <c r="U374" s="37">
        <v>0</v>
      </c>
      <c r="V374" s="37">
        <v>0</v>
      </c>
      <c r="W374" s="37">
        <v>0</v>
      </c>
      <c r="X374" s="37">
        <v>0</v>
      </c>
      <c r="Y374" s="37">
        <v>0</v>
      </c>
      <c r="Z374" s="37">
        <v>0</v>
      </c>
      <c r="AA374" s="37">
        <v>0</v>
      </c>
      <c r="AB374" s="37">
        <v>0</v>
      </c>
      <c r="AC374" s="37">
        <v>0</v>
      </c>
      <c r="AD374" s="37">
        <v>0</v>
      </c>
      <c r="AE374" s="37">
        <v>0</v>
      </c>
      <c r="AF374" s="37">
        <v>0</v>
      </c>
      <c r="AG374" s="37">
        <v>0</v>
      </c>
      <c r="AH374" s="37">
        <v>0</v>
      </c>
      <c r="AI374" s="37">
        <v>0</v>
      </c>
      <c r="AJ374" s="37">
        <v>0</v>
      </c>
      <c r="AK374" s="37">
        <v>0</v>
      </c>
      <c r="AL374" s="37">
        <v>0</v>
      </c>
      <c r="AM374" s="37">
        <v>0</v>
      </c>
      <c r="AN374" s="37">
        <v>0</v>
      </c>
      <c r="AO374" s="37">
        <v>0</v>
      </c>
      <c r="AP374" s="37">
        <v>0</v>
      </c>
      <c r="AQ374" s="37">
        <v>0</v>
      </c>
      <c r="AR374" s="37">
        <v>0</v>
      </c>
      <c r="AS374" s="37">
        <v>0</v>
      </c>
      <c r="AT374" s="37">
        <v>0</v>
      </c>
      <c r="AU374" s="37">
        <v>0</v>
      </c>
      <c r="AV374" s="37">
        <v>0</v>
      </c>
      <c r="AW374" s="37">
        <v>0</v>
      </c>
      <c r="AX374" s="37">
        <v>0</v>
      </c>
      <c r="AY374" s="37">
        <v>0</v>
      </c>
      <c r="AZ374" s="37">
        <v>0</v>
      </c>
    </row>
    <row r="375" spans="2:52" ht="17" customHeight="1" x14ac:dyDescent="0.45">
      <c r="B375" s="33" t="s">
        <v>137</v>
      </c>
      <c r="C375" s="29" t="s">
        <v>5</v>
      </c>
      <c r="D375" s="19" t="str">
        <f>IF('TECHNOLOGY REGISTER'!D19="","",'TECHNOLOGY REGISTER'!D19)</f>
        <v>Imports</v>
      </c>
      <c r="E375" s="36"/>
      <c r="F375" s="32" t="str">
        <f t="shared" si="3"/>
        <v/>
      </c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</row>
    <row r="376" spans="2:52" ht="17" customHeight="1" x14ac:dyDescent="0.45">
      <c r="B376" s="8" t="s">
        <v>137</v>
      </c>
      <c r="C376" s="30" t="s">
        <v>5</v>
      </c>
      <c r="D376" s="17" t="str">
        <f>IF('TECHNOLOGY REGISTER'!D20="","",'TECHNOLOGY REGISTER'!D20)</f>
        <v>Energy Exports</v>
      </c>
      <c r="E376" s="37"/>
      <c r="F376" s="24" t="str">
        <f t="shared" si="3"/>
        <v/>
      </c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</row>
    <row r="377" spans="2:52" ht="17" customHeight="1" x14ac:dyDescent="0.45">
      <c r="B377" s="33" t="s">
        <v>137</v>
      </c>
      <c r="C377" s="29" t="s">
        <v>5</v>
      </c>
      <c r="D377" s="19" t="str">
        <f>IF('TECHNOLOGY REGISTER'!D21="","",'TECHNOLOGY REGISTER'!D21)</f>
        <v>Direct Solar</v>
      </c>
      <c r="E377" s="36"/>
      <c r="F377" s="32" t="str">
        <f t="shared" si="3"/>
        <v/>
      </c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</row>
    <row r="378" spans="2:52" ht="15" customHeight="1" x14ac:dyDescent="0.45">
      <c r="B378" s="8" t="s">
        <v>137</v>
      </c>
      <c r="C378" s="30" t="s">
        <v>5</v>
      </c>
      <c r="D378" s="17" t="str">
        <f>IF('TECHNOLOGY REGISTER'!D22="","",'TECHNOLOGY REGISTER'!D22)</f>
        <v>Direct Oil</v>
      </c>
      <c r="E378" s="16"/>
      <c r="F378" s="24" t="str">
        <f t="shared" si="3"/>
        <v/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</row>
    <row r="379" spans="2:52" ht="15" customHeight="1" x14ac:dyDescent="0.45">
      <c r="B379" s="33" t="s">
        <v>137</v>
      </c>
      <c r="C379" s="29" t="s">
        <v>5</v>
      </c>
      <c r="D379" s="19" t="str">
        <f>IF('TECHNOLOGY REGISTER'!D23="","",'TECHNOLOGY REGISTER'!D23)</f>
        <v>Direct Hydro</v>
      </c>
      <c r="E379" s="18"/>
      <c r="F379" s="32" t="str">
        <f t="shared" si="3"/>
        <v/>
      </c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</row>
    <row r="380" spans="2:52" ht="15" customHeight="1" x14ac:dyDescent="0.45">
      <c r="B380" s="8" t="s">
        <v>137</v>
      </c>
      <c r="C380" s="30" t="s">
        <v>5</v>
      </c>
      <c r="D380" s="17" t="str">
        <f>IF('TECHNOLOGY REGISTER'!D24="","",'TECHNOLOGY REGISTER'!D24)</f>
        <v/>
      </c>
      <c r="E380" s="16"/>
      <c r="F380" s="24" t="str">
        <f t="shared" si="3"/>
        <v/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</row>
    <row r="381" spans="2:52" ht="15" customHeight="1" x14ac:dyDescent="0.45">
      <c r="B381" s="33" t="s">
        <v>137</v>
      </c>
      <c r="C381" s="29" t="s">
        <v>5</v>
      </c>
      <c r="D381" s="19" t="str">
        <f>IF('TECHNOLOGY REGISTER'!D25="","",'TECHNOLOGY REGISTER'!D25)</f>
        <v/>
      </c>
      <c r="E381" s="18"/>
      <c r="F381" s="32" t="str">
        <f t="shared" si="3"/>
        <v/>
      </c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</row>
    <row r="382" spans="2:52" ht="15" customHeight="1" x14ac:dyDescent="0.45">
      <c r="B382" s="8" t="s">
        <v>137</v>
      </c>
      <c r="C382" s="30" t="s">
        <v>5</v>
      </c>
      <c r="D382" s="17" t="str">
        <f>IF('TECHNOLOGY REGISTER'!D26="","",'TECHNOLOGY REGISTER'!D26)</f>
        <v/>
      </c>
      <c r="E382" s="16"/>
      <c r="F382" s="24" t="str">
        <f t="shared" si="3"/>
        <v/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</row>
    <row r="383" spans="2:52" ht="15" customHeight="1" x14ac:dyDescent="0.45">
      <c r="B383" s="33" t="s">
        <v>137</v>
      </c>
      <c r="C383" s="29" t="s">
        <v>5</v>
      </c>
      <c r="D383" s="19" t="str">
        <f>IF('TECHNOLOGY REGISTER'!D27="","",'TECHNOLOGY REGISTER'!D27)</f>
        <v/>
      </c>
      <c r="E383" s="18"/>
      <c r="F383" s="32" t="str">
        <f t="shared" si="3"/>
        <v/>
      </c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</row>
    <row r="384" spans="2:52" ht="15" customHeight="1" x14ac:dyDescent="0.45">
      <c r="B384" s="8" t="s">
        <v>137</v>
      </c>
      <c r="C384" s="30" t="s">
        <v>5</v>
      </c>
      <c r="D384" s="17" t="str">
        <f>IF('TECHNOLOGY REGISTER'!D28="","",'TECHNOLOGY REGISTER'!D28)</f>
        <v/>
      </c>
      <c r="E384" s="16"/>
      <c r="F384" s="24" t="str">
        <f t="shared" si="3"/>
        <v/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</row>
    <row r="385" spans="2:52" ht="15" customHeight="1" x14ac:dyDescent="0.45">
      <c r="B385" s="33" t="s">
        <v>137</v>
      </c>
      <c r="C385" s="29" t="s">
        <v>5</v>
      </c>
      <c r="D385" s="19" t="str">
        <f>IF('TECHNOLOGY REGISTER'!D29="","",'TECHNOLOGY REGISTER'!D29)</f>
        <v/>
      </c>
      <c r="E385" s="18"/>
      <c r="F385" s="32" t="str">
        <f t="shared" si="3"/>
        <v/>
      </c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</row>
    <row r="386" spans="2:52" ht="15" customHeight="1" x14ac:dyDescent="0.45">
      <c r="B386" s="8" t="s">
        <v>137</v>
      </c>
      <c r="C386" s="30" t="s">
        <v>5</v>
      </c>
      <c r="D386" s="17" t="str">
        <f>IF('TECHNOLOGY REGISTER'!D30="","",'TECHNOLOGY REGISTER'!D30)</f>
        <v/>
      </c>
      <c r="E386" s="16"/>
      <c r="F386" s="24" t="str">
        <f t="shared" si="3"/>
        <v/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</row>
    <row r="387" spans="2:52" ht="15" customHeight="1" x14ac:dyDescent="0.45">
      <c r="B387" s="33" t="s">
        <v>137</v>
      </c>
      <c r="C387" s="29" t="s">
        <v>5</v>
      </c>
      <c r="D387" s="19" t="str">
        <f>IF('TECHNOLOGY REGISTER'!D31="","",'TECHNOLOGY REGISTER'!D31)</f>
        <v/>
      </c>
      <c r="E387" s="18"/>
      <c r="F387" s="32" t="str">
        <f t="shared" si="3"/>
        <v/>
      </c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</row>
    <row r="388" spans="2:52" ht="15" customHeight="1" x14ac:dyDescent="0.45">
      <c r="B388" s="8" t="s">
        <v>137</v>
      </c>
      <c r="C388" s="30" t="s">
        <v>5</v>
      </c>
      <c r="D388" s="17" t="str">
        <f>IF('TECHNOLOGY REGISTER'!D32="","",'TECHNOLOGY REGISTER'!D32)</f>
        <v/>
      </c>
      <c r="E388" s="16"/>
      <c r="F388" s="24" t="str">
        <f t="shared" si="3"/>
        <v/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</row>
    <row r="389" spans="2:52" ht="15" customHeight="1" x14ac:dyDescent="0.45">
      <c r="B389" s="33" t="s">
        <v>137</v>
      </c>
      <c r="C389" s="29" t="s">
        <v>5</v>
      </c>
      <c r="D389" s="19" t="str">
        <f>IF('TECHNOLOGY REGISTER'!D33="","",'TECHNOLOGY REGISTER'!D33)</f>
        <v/>
      </c>
      <c r="E389" s="18"/>
      <c r="F389" s="32" t="str">
        <f t="shared" si="3"/>
        <v/>
      </c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</row>
    <row r="390" spans="2:52" ht="15" customHeight="1" x14ac:dyDescent="0.45">
      <c r="B390" s="8" t="s">
        <v>137</v>
      </c>
      <c r="C390" s="30" t="s">
        <v>5</v>
      </c>
      <c r="D390" s="17" t="str">
        <f>IF('TECHNOLOGY REGISTER'!D34="","",'TECHNOLOGY REGISTER'!D34)</f>
        <v/>
      </c>
      <c r="E390" s="16"/>
      <c r="F390" s="24" t="str">
        <f t="shared" si="3"/>
        <v/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</row>
    <row r="391" spans="2:52" ht="15" customHeight="1" x14ac:dyDescent="0.45">
      <c r="B391" s="33" t="s">
        <v>137</v>
      </c>
      <c r="C391" s="29" t="s">
        <v>5</v>
      </c>
      <c r="D391" s="19" t="str">
        <f>IF('TECHNOLOGY REGISTER'!D35="","",'TECHNOLOGY REGISTER'!D35)</f>
        <v/>
      </c>
      <c r="E391" s="18"/>
      <c r="F391" s="32" t="str">
        <f t="shared" si="3"/>
        <v/>
      </c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</row>
    <row r="392" spans="2:52" ht="15" customHeight="1" x14ac:dyDescent="0.45">
      <c r="B392" s="8" t="s">
        <v>137</v>
      </c>
      <c r="C392" s="30" t="s">
        <v>5</v>
      </c>
      <c r="D392" s="17" t="str">
        <f>IF('TECHNOLOGY REGISTER'!D36="","",'TECHNOLOGY REGISTER'!D36)</f>
        <v/>
      </c>
      <c r="E392" s="16"/>
      <c r="F392" s="24" t="str">
        <f t="shared" si="3"/>
        <v/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</row>
    <row r="393" spans="2:52" ht="15" customHeight="1" x14ac:dyDescent="0.45">
      <c r="B393" s="33" t="s">
        <v>137</v>
      </c>
      <c r="C393" s="29" t="s">
        <v>5</v>
      </c>
      <c r="D393" s="19" t="str">
        <f>IF('TECHNOLOGY REGISTER'!D37="","",'TECHNOLOGY REGISTER'!D37)</f>
        <v/>
      </c>
      <c r="E393" s="18"/>
      <c r="F393" s="32" t="str">
        <f t="shared" si="3"/>
        <v/>
      </c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</row>
    <row r="394" spans="2:52" ht="15" customHeight="1" x14ac:dyDescent="0.45">
      <c r="B394" s="8" t="s">
        <v>137</v>
      </c>
      <c r="C394" s="30" t="s">
        <v>5</v>
      </c>
      <c r="D394" s="17" t="str">
        <f>IF('TECHNOLOGY REGISTER'!D38="","",'TECHNOLOGY REGISTER'!D38)</f>
        <v/>
      </c>
      <c r="E394" s="16"/>
      <c r="F394" s="24" t="str">
        <f t="shared" si="3"/>
        <v/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</row>
    <row r="395" spans="2:52" ht="15" customHeight="1" x14ac:dyDescent="0.45">
      <c r="B395" s="33" t="s">
        <v>137</v>
      </c>
      <c r="C395" s="29" t="s">
        <v>5</v>
      </c>
      <c r="D395" s="19" t="str">
        <f>IF('TECHNOLOGY REGISTER'!D39="","",'TECHNOLOGY REGISTER'!D39)</f>
        <v/>
      </c>
      <c r="E395" s="18"/>
      <c r="F395" s="32" t="str">
        <f t="shared" si="3"/>
        <v/>
      </c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</row>
    <row r="396" spans="2:52" ht="15" customHeight="1" x14ac:dyDescent="0.45">
      <c r="B396" s="8" t="s">
        <v>137</v>
      </c>
      <c r="C396" s="30" t="s">
        <v>5</v>
      </c>
      <c r="D396" s="17" t="str">
        <f>IF('TECHNOLOGY REGISTER'!D40="","",'TECHNOLOGY REGISTER'!D40)</f>
        <v/>
      </c>
      <c r="E396" s="16"/>
      <c r="F396" s="24" t="str">
        <f t="shared" si="3"/>
        <v/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</row>
    <row r="397" spans="2:52" ht="15" customHeight="1" x14ac:dyDescent="0.45">
      <c r="B397" s="33" t="s">
        <v>137</v>
      </c>
      <c r="C397" s="29" t="s">
        <v>5</v>
      </c>
      <c r="D397" s="19" t="str">
        <f>IF('TECHNOLOGY REGISTER'!D41="","",'TECHNOLOGY REGISTER'!D41)</f>
        <v/>
      </c>
      <c r="E397" s="18"/>
      <c r="F397" s="32" t="str">
        <f t="shared" si="3"/>
        <v/>
      </c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</row>
    <row r="398" spans="2:52" ht="15" customHeight="1" x14ac:dyDescent="0.45">
      <c r="B398" s="8" t="s">
        <v>137</v>
      </c>
      <c r="C398" s="30" t="s">
        <v>5</v>
      </c>
      <c r="D398" s="17" t="str">
        <f>IF('TECHNOLOGY REGISTER'!D42="","",'TECHNOLOGY REGISTER'!D42)</f>
        <v/>
      </c>
      <c r="E398" s="16"/>
      <c r="F398" s="24" t="str">
        <f t="shared" si="3"/>
        <v/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</row>
    <row r="399" spans="2:52" ht="15" customHeight="1" x14ac:dyDescent="0.45">
      <c r="B399" s="33" t="s">
        <v>137</v>
      </c>
      <c r="C399" s="29" t="s">
        <v>5</v>
      </c>
      <c r="D399" s="19" t="str">
        <f>IF('TECHNOLOGY REGISTER'!D43="","",'TECHNOLOGY REGISTER'!D43)</f>
        <v/>
      </c>
      <c r="E399" s="18"/>
      <c r="F399" s="32" t="str">
        <f t="shared" si="3"/>
        <v/>
      </c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</row>
    <row r="400" spans="2:52" ht="15" customHeight="1" x14ac:dyDescent="0.45">
      <c r="B400" s="8" t="s">
        <v>137</v>
      </c>
      <c r="C400" s="30" t="s">
        <v>5</v>
      </c>
      <c r="D400" s="17" t="str">
        <f>IF('TECHNOLOGY REGISTER'!D44="","",'TECHNOLOGY REGISTER'!D44)</f>
        <v/>
      </c>
      <c r="E400" s="16"/>
      <c r="F400" s="24" t="str">
        <f t="shared" si="3"/>
        <v/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</row>
    <row r="401" spans="2:52" ht="15" customHeight="1" x14ac:dyDescent="0.45">
      <c r="B401" s="33" t="s">
        <v>137</v>
      </c>
      <c r="C401" s="29" t="s">
        <v>5</v>
      </c>
      <c r="D401" s="19" t="str">
        <f>IF('TECHNOLOGY REGISTER'!D45="","",'TECHNOLOGY REGISTER'!D45)</f>
        <v/>
      </c>
      <c r="E401" s="18"/>
      <c r="F401" s="32" t="str">
        <f t="shared" si="3"/>
        <v/>
      </c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</row>
    <row r="402" spans="2:52" ht="15" customHeight="1" x14ac:dyDescent="0.45">
      <c r="B402" s="8" t="s">
        <v>137</v>
      </c>
      <c r="C402" s="30" t="s">
        <v>5</v>
      </c>
      <c r="D402" s="17" t="str">
        <f>IF('TECHNOLOGY REGISTER'!D46="","",'TECHNOLOGY REGISTER'!D46)</f>
        <v/>
      </c>
      <c r="E402" s="16"/>
      <c r="F402" s="24" t="str">
        <f t="shared" si="3"/>
        <v/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</row>
    <row r="403" spans="2:52" ht="15" customHeight="1" x14ac:dyDescent="0.45">
      <c r="B403" s="33" t="s">
        <v>137</v>
      </c>
      <c r="C403" s="29" t="s">
        <v>5</v>
      </c>
      <c r="D403" s="19" t="str">
        <f>IF('TECHNOLOGY REGISTER'!D47="","",'TECHNOLOGY REGISTER'!D47)</f>
        <v/>
      </c>
      <c r="E403" s="18"/>
      <c r="F403" s="32" t="str">
        <f t="shared" si="3"/>
        <v/>
      </c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</row>
    <row r="404" spans="2:52" ht="15" customHeight="1" x14ac:dyDescent="0.45">
      <c r="B404" s="8" t="s">
        <v>137</v>
      </c>
      <c r="C404" s="30" t="s">
        <v>5</v>
      </c>
      <c r="D404" s="17" t="str">
        <f>IF('TECHNOLOGY REGISTER'!D48="","",'TECHNOLOGY REGISTER'!D48)</f>
        <v/>
      </c>
      <c r="E404" s="16"/>
      <c r="F404" s="24" t="str">
        <f t="shared" si="3"/>
        <v/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</row>
    <row r="405" spans="2:52" ht="15" customHeight="1" x14ac:dyDescent="0.45">
      <c r="B405" s="33" t="s">
        <v>137</v>
      </c>
      <c r="C405" s="29" t="s">
        <v>5</v>
      </c>
      <c r="D405" s="19" t="str">
        <f>IF('TECHNOLOGY REGISTER'!D49="","",'TECHNOLOGY REGISTER'!D49)</f>
        <v/>
      </c>
      <c r="E405" s="18"/>
      <c r="F405" s="32" t="str">
        <f t="shared" si="3"/>
        <v/>
      </c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</row>
    <row r="406" spans="2:52" ht="15" customHeight="1" x14ac:dyDescent="0.45">
      <c r="B406" s="8" t="s">
        <v>137</v>
      </c>
      <c r="C406" s="30" t="s">
        <v>5</v>
      </c>
      <c r="D406" s="17" t="str">
        <f>IF('TECHNOLOGY REGISTER'!D50="","",'TECHNOLOGY REGISTER'!D50)</f>
        <v/>
      </c>
      <c r="E406" s="16"/>
      <c r="F406" s="24" t="str">
        <f t="shared" si="3"/>
        <v/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</row>
    <row r="407" spans="2:52" ht="15" customHeight="1" x14ac:dyDescent="0.45">
      <c r="B407" s="33" t="s">
        <v>137</v>
      </c>
      <c r="C407" s="29" t="s">
        <v>5</v>
      </c>
      <c r="D407" s="19" t="str">
        <f>IF('TECHNOLOGY REGISTER'!D51="","",'TECHNOLOGY REGISTER'!D51)</f>
        <v/>
      </c>
      <c r="E407" s="18"/>
      <c r="F407" s="32" t="str">
        <f t="shared" si="3"/>
        <v/>
      </c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</row>
    <row r="408" spans="2:52" ht="15" customHeight="1" x14ac:dyDescent="0.45">
      <c r="B408" s="8" t="s">
        <v>137</v>
      </c>
      <c r="C408" s="30" t="s">
        <v>5</v>
      </c>
      <c r="D408" s="17" t="str">
        <f>IF('TECHNOLOGY REGISTER'!D52="","",'TECHNOLOGY REGISTER'!D52)</f>
        <v/>
      </c>
      <c r="E408" s="16"/>
      <c r="F408" s="24" t="str">
        <f t="shared" si="3"/>
        <v/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</row>
    <row r="409" spans="2:52" ht="15" customHeight="1" x14ac:dyDescent="0.45">
      <c r="B409" s="33" t="s">
        <v>137</v>
      </c>
      <c r="C409" s="29" t="s">
        <v>5</v>
      </c>
      <c r="D409" s="19" t="str">
        <f>IF('TECHNOLOGY REGISTER'!D53="","",'TECHNOLOGY REGISTER'!D53)</f>
        <v/>
      </c>
      <c r="E409" s="18"/>
      <c r="F409" s="32" t="str">
        <f t="shared" si="3"/>
        <v/>
      </c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</row>
    <row r="410" spans="2:52" ht="15" customHeight="1" x14ac:dyDescent="0.45">
      <c r="B410" s="8" t="s">
        <v>137</v>
      </c>
      <c r="C410" s="30" t="s">
        <v>5</v>
      </c>
      <c r="D410" s="17" t="str">
        <f>IF('TECHNOLOGY REGISTER'!D54="","",'TECHNOLOGY REGISTER'!D54)</f>
        <v/>
      </c>
      <c r="E410" s="16"/>
      <c r="F410" s="24" t="str">
        <f t="shared" si="3"/>
        <v/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</row>
    <row r="411" spans="2:52" ht="15" customHeight="1" x14ac:dyDescent="0.45">
      <c r="B411" s="33" t="s">
        <v>137</v>
      </c>
      <c r="C411" s="29" t="s">
        <v>5</v>
      </c>
      <c r="D411" s="19" t="str">
        <f>IF('TECHNOLOGY REGISTER'!D55="","",'TECHNOLOGY REGISTER'!D55)</f>
        <v/>
      </c>
      <c r="E411" s="18"/>
      <c r="F411" s="32" t="str">
        <f t="shared" si="3"/>
        <v/>
      </c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</row>
    <row r="412" spans="2:52" ht="15" customHeight="1" thickBot="1" x14ac:dyDescent="0.5">
      <c r="B412" s="8" t="s">
        <v>137</v>
      </c>
      <c r="C412" s="30" t="s">
        <v>5</v>
      </c>
      <c r="D412" s="17" t="str">
        <f>IF('TECHNOLOGY REGISTER'!D56="","",'TECHNOLOGY REGISTER'!D56)</f>
        <v/>
      </c>
      <c r="E412" s="16"/>
      <c r="F412" s="24" t="str">
        <f t="shared" si="3"/>
        <v/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</row>
    <row r="413" spans="2:52" customFormat="1" ht="20" customHeight="1" x14ac:dyDescent="0.5">
      <c r="B413" s="69" t="s">
        <v>152</v>
      </c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  <c r="AY413" s="69"/>
      <c r="AZ413" s="69"/>
    </row>
    <row r="414" spans="2:52" ht="17" customHeight="1" x14ac:dyDescent="0.45">
      <c r="B414" s="33" t="s">
        <v>138</v>
      </c>
      <c r="C414" s="29" t="s">
        <v>5</v>
      </c>
      <c r="D414" s="19" t="str">
        <f>IF('TECHNOLOGY REGISTER'!D7="","",'TECHNOLOGY REGISTER'!D7)</f>
        <v>Biomass</v>
      </c>
      <c r="E414" s="36" t="s">
        <v>53</v>
      </c>
      <c r="F414" s="32" t="str">
        <f>IF(E414="","",E414&amp;"/kWh")</f>
        <v>KES/kWh</v>
      </c>
      <c r="G414" s="36">
        <v>0</v>
      </c>
      <c r="H414" s="36">
        <v>0</v>
      </c>
      <c r="I414" s="36">
        <v>0</v>
      </c>
      <c r="J414" s="36">
        <v>0</v>
      </c>
      <c r="K414" s="36">
        <v>0</v>
      </c>
      <c r="L414" s="36">
        <v>0</v>
      </c>
      <c r="M414" s="36">
        <v>0</v>
      </c>
      <c r="N414" s="36">
        <v>0</v>
      </c>
      <c r="O414" s="36">
        <v>0</v>
      </c>
      <c r="P414" s="36">
        <v>0</v>
      </c>
      <c r="Q414" s="36">
        <v>0</v>
      </c>
      <c r="R414" s="36">
        <v>0</v>
      </c>
      <c r="S414" s="36">
        <v>0</v>
      </c>
      <c r="T414" s="36">
        <v>0</v>
      </c>
      <c r="U414" s="36">
        <v>0</v>
      </c>
      <c r="V414" s="36">
        <v>0</v>
      </c>
      <c r="W414" s="36">
        <v>0</v>
      </c>
      <c r="X414" s="36">
        <v>0</v>
      </c>
      <c r="Y414" s="36">
        <v>0</v>
      </c>
      <c r="Z414" s="36">
        <v>0</v>
      </c>
      <c r="AA414" s="36">
        <v>0</v>
      </c>
      <c r="AB414" s="36">
        <v>0</v>
      </c>
      <c r="AC414" s="36">
        <v>0</v>
      </c>
      <c r="AD414" s="36">
        <v>0</v>
      </c>
      <c r="AE414" s="36">
        <v>0</v>
      </c>
      <c r="AF414" s="36">
        <v>0</v>
      </c>
      <c r="AG414" s="36">
        <v>0</v>
      </c>
      <c r="AH414" s="36">
        <v>0</v>
      </c>
      <c r="AI414" s="36">
        <v>0</v>
      </c>
      <c r="AJ414" s="36">
        <v>0</v>
      </c>
      <c r="AK414" s="36">
        <v>0</v>
      </c>
      <c r="AL414" s="36">
        <v>0</v>
      </c>
      <c r="AM414" s="36">
        <v>0</v>
      </c>
      <c r="AN414" s="36">
        <v>0</v>
      </c>
      <c r="AO414" s="36">
        <v>0</v>
      </c>
      <c r="AP414" s="36">
        <v>0</v>
      </c>
      <c r="AQ414" s="36">
        <v>0</v>
      </c>
      <c r="AR414" s="36">
        <v>0</v>
      </c>
      <c r="AS414" s="36">
        <v>0</v>
      </c>
      <c r="AT414" s="36">
        <v>0</v>
      </c>
      <c r="AU414" s="36">
        <v>0</v>
      </c>
      <c r="AV414" s="36">
        <v>0</v>
      </c>
      <c r="AW414" s="36">
        <v>0</v>
      </c>
      <c r="AX414" s="36">
        <v>0</v>
      </c>
      <c r="AY414" s="36">
        <v>0</v>
      </c>
      <c r="AZ414" s="36">
        <v>0</v>
      </c>
    </row>
    <row r="415" spans="2:52" ht="17" customHeight="1" x14ac:dyDescent="0.45">
      <c r="B415" s="8" t="s">
        <v>138</v>
      </c>
      <c r="C415" s="30" t="s">
        <v>5</v>
      </c>
      <c r="D415" s="17" t="str">
        <f>IF('TECHNOLOGY REGISTER'!D8="","",'TECHNOLOGY REGISTER'!D8)</f>
        <v>Geothermal</v>
      </c>
      <c r="E415" s="37" t="s">
        <v>53</v>
      </c>
      <c r="F415" s="24" t="str">
        <f t="shared" ref="F415:F463" si="4">IF(E415="","",E415&amp;"/kWh")</f>
        <v>KES/kWh</v>
      </c>
      <c r="G415" s="37">
        <v>0</v>
      </c>
      <c r="H415" s="37">
        <v>0</v>
      </c>
      <c r="I415" s="37">
        <v>0</v>
      </c>
      <c r="J415" s="37">
        <v>0</v>
      </c>
      <c r="K415" s="37">
        <v>0</v>
      </c>
      <c r="L415" s="37">
        <v>0</v>
      </c>
      <c r="M415" s="37">
        <v>0</v>
      </c>
      <c r="N415" s="37">
        <v>0</v>
      </c>
      <c r="O415" s="37">
        <v>0</v>
      </c>
      <c r="P415" s="37">
        <v>0</v>
      </c>
      <c r="Q415" s="37">
        <v>0</v>
      </c>
      <c r="R415" s="37">
        <v>0</v>
      </c>
      <c r="S415" s="37">
        <v>0</v>
      </c>
      <c r="T415" s="37">
        <v>0</v>
      </c>
      <c r="U415" s="37">
        <v>0</v>
      </c>
      <c r="V415" s="37">
        <v>0</v>
      </c>
      <c r="W415" s="37">
        <v>0</v>
      </c>
      <c r="X415" s="37">
        <v>0</v>
      </c>
      <c r="Y415" s="37">
        <v>0</v>
      </c>
      <c r="Z415" s="37">
        <v>0</v>
      </c>
      <c r="AA415" s="37">
        <v>0</v>
      </c>
      <c r="AB415" s="37">
        <v>0</v>
      </c>
      <c r="AC415" s="37">
        <v>0</v>
      </c>
      <c r="AD415" s="37">
        <v>0</v>
      </c>
      <c r="AE415" s="37">
        <v>0</v>
      </c>
      <c r="AF415" s="37">
        <v>0</v>
      </c>
      <c r="AG415" s="37">
        <v>0</v>
      </c>
      <c r="AH415" s="37">
        <v>0</v>
      </c>
      <c r="AI415" s="37">
        <v>0</v>
      </c>
      <c r="AJ415" s="37">
        <v>0</v>
      </c>
      <c r="AK415" s="37">
        <v>0</v>
      </c>
      <c r="AL415" s="37">
        <v>0</v>
      </c>
      <c r="AM415" s="37">
        <v>0</v>
      </c>
      <c r="AN415" s="37">
        <v>0</v>
      </c>
      <c r="AO415" s="37">
        <v>0</v>
      </c>
      <c r="AP415" s="37">
        <v>0</v>
      </c>
      <c r="AQ415" s="37">
        <v>0</v>
      </c>
      <c r="AR415" s="37">
        <v>0</v>
      </c>
      <c r="AS415" s="37">
        <v>0</v>
      </c>
      <c r="AT415" s="37">
        <v>0</v>
      </c>
      <c r="AU415" s="37">
        <v>0</v>
      </c>
      <c r="AV415" s="37">
        <v>0</v>
      </c>
      <c r="AW415" s="37">
        <v>0</v>
      </c>
      <c r="AX415" s="37">
        <v>0</v>
      </c>
      <c r="AY415" s="37">
        <v>0</v>
      </c>
      <c r="AZ415" s="37">
        <v>0</v>
      </c>
    </row>
    <row r="416" spans="2:52" ht="17" customHeight="1" x14ac:dyDescent="0.45">
      <c r="B416" s="33" t="s">
        <v>138</v>
      </c>
      <c r="C416" s="29" t="s">
        <v>5</v>
      </c>
      <c r="D416" s="19" t="str">
        <f>IF('TECHNOLOGY REGISTER'!D9="","",'TECHNOLOGY REGISTER'!D9)</f>
        <v>Solar PV</v>
      </c>
      <c r="E416" s="36" t="s">
        <v>53</v>
      </c>
      <c r="F416" s="32" t="str">
        <f t="shared" si="4"/>
        <v>KES/kWh</v>
      </c>
      <c r="G416" s="36">
        <v>0</v>
      </c>
      <c r="H416" s="36">
        <v>0</v>
      </c>
      <c r="I416" s="36">
        <v>0</v>
      </c>
      <c r="J416" s="36">
        <v>0</v>
      </c>
      <c r="K416" s="36">
        <v>0</v>
      </c>
      <c r="L416" s="36">
        <v>0</v>
      </c>
      <c r="M416" s="36">
        <v>0</v>
      </c>
      <c r="N416" s="36">
        <v>0</v>
      </c>
      <c r="O416" s="36">
        <v>0</v>
      </c>
      <c r="P416" s="36">
        <v>0</v>
      </c>
      <c r="Q416" s="36">
        <v>0</v>
      </c>
      <c r="R416" s="36">
        <v>0</v>
      </c>
      <c r="S416" s="36">
        <v>0</v>
      </c>
      <c r="T416" s="36">
        <v>0</v>
      </c>
      <c r="U416" s="36">
        <v>0</v>
      </c>
      <c r="V416" s="36">
        <v>0</v>
      </c>
      <c r="W416" s="36">
        <v>0</v>
      </c>
      <c r="X416" s="36">
        <v>0</v>
      </c>
      <c r="Y416" s="36">
        <v>0</v>
      </c>
      <c r="Z416" s="36">
        <v>0</v>
      </c>
      <c r="AA416" s="36">
        <v>0</v>
      </c>
      <c r="AB416" s="36">
        <v>0</v>
      </c>
      <c r="AC416" s="36">
        <v>0</v>
      </c>
      <c r="AD416" s="36">
        <v>0</v>
      </c>
      <c r="AE416" s="36">
        <v>0</v>
      </c>
      <c r="AF416" s="36">
        <v>0</v>
      </c>
      <c r="AG416" s="36">
        <v>0</v>
      </c>
      <c r="AH416" s="36">
        <v>0</v>
      </c>
      <c r="AI416" s="36">
        <v>0</v>
      </c>
      <c r="AJ416" s="36">
        <v>0</v>
      </c>
      <c r="AK416" s="36">
        <v>0</v>
      </c>
      <c r="AL416" s="36">
        <v>0</v>
      </c>
      <c r="AM416" s="36">
        <v>0</v>
      </c>
      <c r="AN416" s="36">
        <v>0</v>
      </c>
      <c r="AO416" s="36">
        <v>0</v>
      </c>
      <c r="AP416" s="36">
        <v>0</v>
      </c>
      <c r="AQ416" s="36">
        <v>0</v>
      </c>
      <c r="AR416" s="36">
        <v>0</v>
      </c>
      <c r="AS416" s="36">
        <v>0</v>
      </c>
      <c r="AT416" s="36">
        <v>0</v>
      </c>
      <c r="AU416" s="36">
        <v>0</v>
      </c>
      <c r="AV416" s="36">
        <v>0</v>
      </c>
      <c r="AW416" s="36">
        <v>0</v>
      </c>
      <c r="AX416" s="36">
        <v>0</v>
      </c>
      <c r="AY416" s="36">
        <v>0</v>
      </c>
      <c r="AZ416" s="36">
        <v>0</v>
      </c>
    </row>
    <row r="417" spans="2:52" ht="17" customHeight="1" x14ac:dyDescent="0.45">
      <c r="B417" s="8" t="s">
        <v>138</v>
      </c>
      <c r="C417" s="30" t="s">
        <v>5</v>
      </c>
      <c r="D417" s="17" t="str">
        <f>IF('TECHNOLOGY REGISTER'!D10="","",'TECHNOLOGY REGISTER'!D10)</f>
        <v>CSP</v>
      </c>
      <c r="E417" s="37" t="s">
        <v>53</v>
      </c>
      <c r="F417" s="24" t="str">
        <f t="shared" si="4"/>
        <v>KES/kWh</v>
      </c>
      <c r="G417" s="37">
        <v>0</v>
      </c>
      <c r="H417" s="37">
        <v>0</v>
      </c>
      <c r="I417" s="37">
        <v>0</v>
      </c>
      <c r="J417" s="37">
        <v>0</v>
      </c>
      <c r="K417" s="37">
        <v>0</v>
      </c>
      <c r="L417" s="37">
        <v>0</v>
      </c>
      <c r="M417" s="37">
        <v>0</v>
      </c>
      <c r="N417" s="37">
        <v>0</v>
      </c>
      <c r="O417" s="37">
        <v>0</v>
      </c>
      <c r="P417" s="37">
        <v>0</v>
      </c>
      <c r="Q417" s="37">
        <v>0</v>
      </c>
      <c r="R417" s="37">
        <v>0</v>
      </c>
      <c r="S417" s="37">
        <v>0</v>
      </c>
      <c r="T417" s="37">
        <v>0</v>
      </c>
      <c r="U417" s="37">
        <v>0</v>
      </c>
      <c r="V417" s="37">
        <v>0</v>
      </c>
      <c r="W417" s="37">
        <v>0</v>
      </c>
      <c r="X417" s="37">
        <v>0</v>
      </c>
      <c r="Y417" s="37">
        <v>0</v>
      </c>
      <c r="Z417" s="37">
        <v>0</v>
      </c>
      <c r="AA417" s="37">
        <v>0</v>
      </c>
      <c r="AB417" s="37">
        <v>0</v>
      </c>
      <c r="AC417" s="37">
        <v>0</v>
      </c>
      <c r="AD417" s="37">
        <v>0</v>
      </c>
      <c r="AE417" s="37">
        <v>0</v>
      </c>
      <c r="AF417" s="37">
        <v>0</v>
      </c>
      <c r="AG417" s="37">
        <v>0</v>
      </c>
      <c r="AH417" s="37">
        <v>0</v>
      </c>
      <c r="AI417" s="37">
        <v>0</v>
      </c>
      <c r="AJ417" s="37">
        <v>0</v>
      </c>
      <c r="AK417" s="37">
        <v>0</v>
      </c>
      <c r="AL417" s="37">
        <v>0</v>
      </c>
      <c r="AM417" s="37">
        <v>0</v>
      </c>
      <c r="AN417" s="37">
        <v>0</v>
      </c>
      <c r="AO417" s="37">
        <v>0</v>
      </c>
      <c r="AP417" s="37">
        <v>0</v>
      </c>
      <c r="AQ417" s="37">
        <v>0</v>
      </c>
      <c r="AR417" s="37">
        <v>0</v>
      </c>
      <c r="AS417" s="37">
        <v>0</v>
      </c>
      <c r="AT417" s="37">
        <v>0</v>
      </c>
      <c r="AU417" s="37">
        <v>0</v>
      </c>
      <c r="AV417" s="37">
        <v>0</v>
      </c>
      <c r="AW417" s="37">
        <v>0</v>
      </c>
      <c r="AX417" s="37">
        <v>0</v>
      </c>
      <c r="AY417" s="37">
        <v>0</v>
      </c>
      <c r="AZ417" s="37">
        <v>0</v>
      </c>
    </row>
    <row r="418" spans="2:52" ht="17" customHeight="1" x14ac:dyDescent="0.45">
      <c r="B418" s="33" t="s">
        <v>138</v>
      </c>
      <c r="C418" s="29" t="s">
        <v>5</v>
      </c>
      <c r="D418" s="19" t="str">
        <f>IF('TECHNOLOGY REGISTER'!D11="","",'TECHNOLOGY REGISTER'!D11)</f>
        <v>Hydropower</v>
      </c>
      <c r="E418" s="36" t="s">
        <v>53</v>
      </c>
      <c r="F418" s="32" t="str">
        <f t="shared" si="4"/>
        <v>KES/kWh</v>
      </c>
      <c r="G418" s="36">
        <v>0</v>
      </c>
      <c r="H418" s="36">
        <v>0</v>
      </c>
      <c r="I418" s="36">
        <v>0</v>
      </c>
      <c r="J418" s="36">
        <v>0</v>
      </c>
      <c r="K418" s="36">
        <v>0</v>
      </c>
      <c r="L418" s="36">
        <v>0</v>
      </c>
      <c r="M418" s="36">
        <v>0</v>
      </c>
      <c r="N418" s="36">
        <v>0</v>
      </c>
      <c r="O418" s="36">
        <v>0</v>
      </c>
      <c r="P418" s="36">
        <v>0</v>
      </c>
      <c r="Q418" s="36">
        <v>0</v>
      </c>
      <c r="R418" s="36">
        <v>0</v>
      </c>
      <c r="S418" s="36">
        <v>0</v>
      </c>
      <c r="T418" s="36">
        <v>0</v>
      </c>
      <c r="U418" s="36">
        <v>0</v>
      </c>
      <c r="V418" s="36">
        <v>0</v>
      </c>
      <c r="W418" s="36">
        <v>0</v>
      </c>
      <c r="X418" s="36">
        <v>0</v>
      </c>
      <c r="Y418" s="36">
        <v>0</v>
      </c>
      <c r="Z418" s="36">
        <v>0</v>
      </c>
      <c r="AA418" s="36">
        <v>0</v>
      </c>
      <c r="AB418" s="36">
        <v>0</v>
      </c>
      <c r="AC418" s="36">
        <v>0</v>
      </c>
      <c r="AD418" s="36">
        <v>0</v>
      </c>
      <c r="AE418" s="36">
        <v>0</v>
      </c>
      <c r="AF418" s="36">
        <v>0</v>
      </c>
      <c r="AG418" s="36">
        <v>0</v>
      </c>
      <c r="AH418" s="36">
        <v>0</v>
      </c>
      <c r="AI418" s="36">
        <v>0</v>
      </c>
      <c r="AJ418" s="36">
        <v>0</v>
      </c>
      <c r="AK418" s="36">
        <v>0</v>
      </c>
      <c r="AL418" s="36">
        <v>0</v>
      </c>
      <c r="AM418" s="36">
        <v>0</v>
      </c>
      <c r="AN418" s="36">
        <v>0</v>
      </c>
      <c r="AO418" s="36">
        <v>0</v>
      </c>
      <c r="AP418" s="36">
        <v>0</v>
      </c>
      <c r="AQ418" s="36">
        <v>0</v>
      </c>
      <c r="AR418" s="36">
        <v>0</v>
      </c>
      <c r="AS418" s="36">
        <v>0</v>
      </c>
      <c r="AT418" s="36">
        <v>0</v>
      </c>
      <c r="AU418" s="36">
        <v>0</v>
      </c>
      <c r="AV418" s="36">
        <v>0</v>
      </c>
      <c r="AW418" s="36">
        <v>0</v>
      </c>
      <c r="AX418" s="36">
        <v>0</v>
      </c>
      <c r="AY418" s="36">
        <v>0</v>
      </c>
      <c r="AZ418" s="36">
        <v>0</v>
      </c>
    </row>
    <row r="419" spans="2:52" ht="17" customHeight="1" x14ac:dyDescent="0.45">
      <c r="B419" s="8" t="s">
        <v>138</v>
      </c>
      <c r="C419" s="30" t="s">
        <v>5</v>
      </c>
      <c r="D419" s="17" t="str">
        <f>IF('TECHNOLOGY REGISTER'!D12="","",'TECHNOLOGY REGISTER'!D12)</f>
        <v>Nuclear</v>
      </c>
      <c r="E419" s="37" t="s">
        <v>53</v>
      </c>
      <c r="F419" s="24" t="str">
        <f t="shared" si="4"/>
        <v>KES/kWh</v>
      </c>
      <c r="G419" s="37">
        <v>0</v>
      </c>
      <c r="H419" s="37">
        <v>0</v>
      </c>
      <c r="I419" s="37">
        <v>0</v>
      </c>
      <c r="J419" s="37">
        <v>0</v>
      </c>
      <c r="K419" s="37">
        <v>0</v>
      </c>
      <c r="L419" s="37">
        <v>0</v>
      </c>
      <c r="M419" s="37">
        <v>0</v>
      </c>
      <c r="N419" s="37">
        <v>0</v>
      </c>
      <c r="O419" s="37">
        <v>0</v>
      </c>
      <c r="P419" s="37">
        <v>0</v>
      </c>
      <c r="Q419" s="37">
        <v>0</v>
      </c>
      <c r="R419" s="37">
        <v>0</v>
      </c>
      <c r="S419" s="37">
        <v>0</v>
      </c>
      <c r="T419" s="37">
        <v>0</v>
      </c>
      <c r="U419" s="37">
        <v>0</v>
      </c>
      <c r="V419" s="37">
        <v>0</v>
      </c>
      <c r="W419" s="37">
        <v>0</v>
      </c>
      <c r="X419" s="37">
        <v>0</v>
      </c>
      <c r="Y419" s="37">
        <v>0</v>
      </c>
      <c r="Z419" s="37">
        <v>0</v>
      </c>
      <c r="AA419" s="37">
        <v>0</v>
      </c>
      <c r="AB419" s="37">
        <v>0</v>
      </c>
      <c r="AC419" s="37">
        <v>0</v>
      </c>
      <c r="AD419" s="37">
        <v>0</v>
      </c>
      <c r="AE419" s="37">
        <v>0</v>
      </c>
      <c r="AF419" s="37">
        <v>0</v>
      </c>
      <c r="AG419" s="37">
        <v>0</v>
      </c>
      <c r="AH419" s="37">
        <v>0</v>
      </c>
      <c r="AI419" s="37">
        <v>0</v>
      </c>
      <c r="AJ419" s="37">
        <v>0</v>
      </c>
      <c r="AK419" s="37">
        <v>0</v>
      </c>
      <c r="AL419" s="37">
        <v>0</v>
      </c>
      <c r="AM419" s="37">
        <v>0</v>
      </c>
      <c r="AN419" s="37">
        <v>0</v>
      </c>
      <c r="AO419" s="37">
        <v>0</v>
      </c>
      <c r="AP419" s="37">
        <v>0</v>
      </c>
      <c r="AQ419" s="37">
        <v>0</v>
      </c>
      <c r="AR419" s="37">
        <v>0</v>
      </c>
      <c r="AS419" s="37">
        <v>0</v>
      </c>
      <c r="AT419" s="37">
        <v>0</v>
      </c>
      <c r="AU419" s="37">
        <v>0</v>
      </c>
      <c r="AV419" s="37">
        <v>0</v>
      </c>
      <c r="AW419" s="37">
        <v>0</v>
      </c>
      <c r="AX419" s="37">
        <v>0</v>
      </c>
      <c r="AY419" s="37">
        <v>0</v>
      </c>
      <c r="AZ419" s="37">
        <v>0</v>
      </c>
    </row>
    <row r="420" spans="2:52" ht="17" customHeight="1" x14ac:dyDescent="0.45">
      <c r="B420" s="33" t="s">
        <v>138</v>
      </c>
      <c r="C420" s="29" t="s">
        <v>5</v>
      </c>
      <c r="D420" s="19" t="str">
        <f>IF('TECHNOLOGY REGISTER'!D13="","",'TECHNOLOGY REGISTER'!D13)</f>
        <v>Wind</v>
      </c>
      <c r="E420" s="36" t="s">
        <v>53</v>
      </c>
      <c r="F420" s="32" t="str">
        <f t="shared" si="4"/>
        <v>KES/kWh</v>
      </c>
      <c r="G420" s="36">
        <v>0</v>
      </c>
      <c r="H420" s="36">
        <v>0</v>
      </c>
      <c r="I420" s="36">
        <v>0</v>
      </c>
      <c r="J420" s="36">
        <v>0</v>
      </c>
      <c r="K420" s="36">
        <v>0</v>
      </c>
      <c r="L420" s="36">
        <v>0</v>
      </c>
      <c r="M420" s="36">
        <v>0</v>
      </c>
      <c r="N420" s="36">
        <v>0</v>
      </c>
      <c r="O420" s="36">
        <v>0</v>
      </c>
      <c r="P420" s="36">
        <v>0</v>
      </c>
      <c r="Q420" s="36">
        <v>0</v>
      </c>
      <c r="R420" s="36">
        <v>0</v>
      </c>
      <c r="S420" s="36">
        <v>0</v>
      </c>
      <c r="T420" s="36">
        <v>0</v>
      </c>
      <c r="U420" s="36">
        <v>0</v>
      </c>
      <c r="V420" s="36">
        <v>0</v>
      </c>
      <c r="W420" s="36">
        <v>0</v>
      </c>
      <c r="X420" s="36">
        <v>0</v>
      </c>
      <c r="Y420" s="36">
        <v>0</v>
      </c>
      <c r="Z420" s="36">
        <v>0</v>
      </c>
      <c r="AA420" s="36">
        <v>0</v>
      </c>
      <c r="AB420" s="36">
        <v>0</v>
      </c>
      <c r="AC420" s="36">
        <v>0</v>
      </c>
      <c r="AD420" s="36">
        <v>0</v>
      </c>
      <c r="AE420" s="36">
        <v>0</v>
      </c>
      <c r="AF420" s="36">
        <v>0</v>
      </c>
      <c r="AG420" s="36">
        <v>0</v>
      </c>
      <c r="AH420" s="36">
        <v>0</v>
      </c>
      <c r="AI420" s="36">
        <v>0</v>
      </c>
      <c r="AJ420" s="36">
        <v>0</v>
      </c>
      <c r="AK420" s="36">
        <v>0</v>
      </c>
      <c r="AL420" s="36">
        <v>0</v>
      </c>
      <c r="AM420" s="36">
        <v>0</v>
      </c>
      <c r="AN420" s="36">
        <v>0</v>
      </c>
      <c r="AO420" s="36">
        <v>0</v>
      </c>
      <c r="AP420" s="36">
        <v>0</v>
      </c>
      <c r="AQ420" s="36">
        <v>0</v>
      </c>
      <c r="AR420" s="36">
        <v>0</v>
      </c>
      <c r="AS420" s="36">
        <v>0</v>
      </c>
      <c r="AT420" s="36">
        <v>0</v>
      </c>
      <c r="AU420" s="36">
        <v>0</v>
      </c>
      <c r="AV420" s="36">
        <v>0</v>
      </c>
      <c r="AW420" s="36">
        <v>0</v>
      </c>
      <c r="AX420" s="36">
        <v>0</v>
      </c>
      <c r="AY420" s="36">
        <v>0</v>
      </c>
      <c r="AZ420" s="36">
        <v>0</v>
      </c>
    </row>
    <row r="421" spans="2:52" ht="17" customHeight="1" x14ac:dyDescent="0.45">
      <c r="B421" s="8" t="s">
        <v>138</v>
      </c>
      <c r="C421" s="30" t="s">
        <v>5</v>
      </c>
      <c r="D421" s="17" t="str">
        <f>IF('TECHNOLOGY REGISTER'!D14="","",'TECHNOLOGY REGISTER'!D14)</f>
        <v>Coal</v>
      </c>
      <c r="E421" s="37" t="s">
        <v>53</v>
      </c>
      <c r="F421" s="24" t="str">
        <f t="shared" si="4"/>
        <v>KES/kWh</v>
      </c>
      <c r="G421" s="37">
        <v>0</v>
      </c>
      <c r="H421" s="37">
        <v>0</v>
      </c>
      <c r="I421" s="37">
        <v>0</v>
      </c>
      <c r="J421" s="37">
        <v>0</v>
      </c>
      <c r="K421" s="37">
        <v>0</v>
      </c>
      <c r="L421" s="37">
        <v>0</v>
      </c>
      <c r="M421" s="37">
        <v>0</v>
      </c>
      <c r="N421" s="37">
        <v>0</v>
      </c>
      <c r="O421" s="37">
        <v>0</v>
      </c>
      <c r="P421" s="37">
        <v>0</v>
      </c>
      <c r="Q421" s="37">
        <v>0</v>
      </c>
      <c r="R421" s="37">
        <v>0</v>
      </c>
      <c r="S421" s="37">
        <v>0</v>
      </c>
      <c r="T421" s="37">
        <v>0</v>
      </c>
      <c r="U421" s="37">
        <v>0</v>
      </c>
      <c r="V421" s="37">
        <v>0</v>
      </c>
      <c r="W421" s="37">
        <v>0</v>
      </c>
      <c r="X421" s="37">
        <v>0</v>
      </c>
      <c r="Y421" s="37">
        <v>0</v>
      </c>
      <c r="Z421" s="37">
        <v>0</v>
      </c>
      <c r="AA421" s="37">
        <v>0</v>
      </c>
      <c r="AB421" s="37">
        <v>0</v>
      </c>
      <c r="AC421" s="37">
        <v>0</v>
      </c>
      <c r="AD421" s="37">
        <v>0</v>
      </c>
      <c r="AE421" s="37">
        <v>0</v>
      </c>
      <c r="AF421" s="37">
        <v>0</v>
      </c>
      <c r="AG421" s="37">
        <v>0</v>
      </c>
      <c r="AH421" s="37">
        <v>0</v>
      </c>
      <c r="AI421" s="37">
        <v>0</v>
      </c>
      <c r="AJ421" s="37">
        <v>0</v>
      </c>
      <c r="AK421" s="37">
        <v>0</v>
      </c>
      <c r="AL421" s="37">
        <v>0</v>
      </c>
      <c r="AM421" s="37">
        <v>0</v>
      </c>
      <c r="AN421" s="37">
        <v>0</v>
      </c>
      <c r="AO421" s="37">
        <v>0</v>
      </c>
      <c r="AP421" s="37">
        <v>0</v>
      </c>
      <c r="AQ421" s="37">
        <v>0</v>
      </c>
      <c r="AR421" s="37">
        <v>0</v>
      </c>
      <c r="AS421" s="37">
        <v>0</v>
      </c>
      <c r="AT421" s="37">
        <v>0</v>
      </c>
      <c r="AU421" s="37">
        <v>0</v>
      </c>
      <c r="AV421" s="37">
        <v>0</v>
      </c>
      <c r="AW421" s="37">
        <v>0</v>
      </c>
      <c r="AX421" s="37">
        <v>0</v>
      </c>
      <c r="AY421" s="37">
        <v>0</v>
      </c>
      <c r="AZ421" s="37">
        <v>0</v>
      </c>
    </row>
    <row r="422" spans="2:52" ht="17" customHeight="1" x14ac:dyDescent="0.45">
      <c r="B422" s="33" t="s">
        <v>138</v>
      </c>
      <c r="C422" s="29" t="s">
        <v>5</v>
      </c>
      <c r="D422" s="19" t="str">
        <f>IF('TECHNOLOGY REGISTER'!D15="","",'TECHNOLOGY REGISTER'!D15)</f>
        <v>Oil</v>
      </c>
      <c r="E422" s="36" t="s">
        <v>53</v>
      </c>
      <c r="F422" s="32" t="str">
        <f t="shared" si="4"/>
        <v>KES/kWh</v>
      </c>
      <c r="G422" s="36">
        <v>0</v>
      </c>
      <c r="H422" s="36">
        <v>0</v>
      </c>
      <c r="I422" s="36">
        <v>0</v>
      </c>
      <c r="J422" s="36">
        <v>0</v>
      </c>
      <c r="K422" s="36">
        <v>0</v>
      </c>
      <c r="L422" s="36">
        <v>0</v>
      </c>
      <c r="M422" s="36">
        <v>0</v>
      </c>
      <c r="N422" s="36">
        <v>0</v>
      </c>
      <c r="O422" s="36">
        <v>0</v>
      </c>
      <c r="P422" s="36">
        <v>0</v>
      </c>
      <c r="Q422" s="36">
        <v>0</v>
      </c>
      <c r="R422" s="36">
        <v>0</v>
      </c>
      <c r="S422" s="36">
        <v>0</v>
      </c>
      <c r="T422" s="36">
        <v>0</v>
      </c>
      <c r="U422" s="36">
        <v>0</v>
      </c>
      <c r="V422" s="36">
        <v>0</v>
      </c>
      <c r="W422" s="36">
        <v>0</v>
      </c>
      <c r="X422" s="36">
        <v>0</v>
      </c>
      <c r="Y422" s="36">
        <v>0</v>
      </c>
      <c r="Z422" s="36">
        <v>0</v>
      </c>
      <c r="AA422" s="36">
        <v>0</v>
      </c>
      <c r="AB422" s="36">
        <v>0</v>
      </c>
      <c r="AC422" s="36">
        <v>0</v>
      </c>
      <c r="AD422" s="36">
        <v>0</v>
      </c>
      <c r="AE422" s="36">
        <v>0</v>
      </c>
      <c r="AF422" s="36">
        <v>0</v>
      </c>
      <c r="AG422" s="36">
        <v>0</v>
      </c>
      <c r="AH422" s="36">
        <v>0</v>
      </c>
      <c r="AI422" s="36">
        <v>0</v>
      </c>
      <c r="AJ422" s="36">
        <v>0</v>
      </c>
      <c r="AK422" s="36">
        <v>0</v>
      </c>
      <c r="AL422" s="36">
        <v>0</v>
      </c>
      <c r="AM422" s="36">
        <v>0</v>
      </c>
      <c r="AN422" s="36">
        <v>0</v>
      </c>
      <c r="AO422" s="36">
        <v>0</v>
      </c>
      <c r="AP422" s="36">
        <v>0</v>
      </c>
      <c r="AQ422" s="36">
        <v>0</v>
      </c>
      <c r="AR422" s="36">
        <v>0</v>
      </c>
      <c r="AS422" s="36">
        <v>0</v>
      </c>
      <c r="AT422" s="36">
        <v>0</v>
      </c>
      <c r="AU422" s="36">
        <v>0</v>
      </c>
      <c r="AV422" s="36">
        <v>0</v>
      </c>
      <c r="AW422" s="36">
        <v>0</v>
      </c>
      <c r="AX422" s="36">
        <v>0</v>
      </c>
      <c r="AY422" s="36">
        <v>0</v>
      </c>
      <c r="AZ422" s="36">
        <v>0</v>
      </c>
    </row>
    <row r="423" spans="2:52" ht="17" customHeight="1" x14ac:dyDescent="0.45">
      <c r="B423" s="8" t="s">
        <v>138</v>
      </c>
      <c r="C423" s="30" t="s">
        <v>5</v>
      </c>
      <c r="D423" s="17" t="str">
        <f>IF('TECHNOLOGY REGISTER'!D16="","",'TECHNOLOGY REGISTER'!D16)</f>
        <v>Gas</v>
      </c>
      <c r="E423" s="37" t="s">
        <v>53</v>
      </c>
      <c r="F423" s="24" t="str">
        <f t="shared" si="4"/>
        <v>KES/kWh</v>
      </c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</row>
    <row r="424" spans="2:52" ht="17" customHeight="1" x14ac:dyDescent="0.45">
      <c r="B424" s="33" t="s">
        <v>138</v>
      </c>
      <c r="C424" s="29" t="s">
        <v>5</v>
      </c>
      <c r="D424" s="19" t="str">
        <f>IF('TECHNOLOGY REGISTER'!D17="","",'TECHNOLOGY REGISTER'!D17)</f>
        <v>Transmission</v>
      </c>
      <c r="E424" s="36" t="s">
        <v>53</v>
      </c>
      <c r="F424" s="32" t="str">
        <f t="shared" si="4"/>
        <v>KES/kWh</v>
      </c>
      <c r="G424" s="36">
        <v>0</v>
      </c>
      <c r="H424" s="36">
        <v>0</v>
      </c>
      <c r="I424" s="36">
        <v>0</v>
      </c>
      <c r="J424" s="36">
        <v>0</v>
      </c>
      <c r="K424" s="36">
        <v>0</v>
      </c>
      <c r="L424" s="36">
        <v>0</v>
      </c>
      <c r="M424" s="36">
        <v>0</v>
      </c>
      <c r="N424" s="36">
        <v>0</v>
      </c>
      <c r="O424" s="36">
        <v>0</v>
      </c>
      <c r="P424" s="36">
        <v>0</v>
      </c>
      <c r="Q424" s="36">
        <v>0</v>
      </c>
      <c r="R424" s="36">
        <v>0</v>
      </c>
      <c r="S424" s="36">
        <v>0</v>
      </c>
      <c r="T424" s="36">
        <v>0</v>
      </c>
      <c r="U424" s="36">
        <v>0</v>
      </c>
      <c r="V424" s="36">
        <v>0</v>
      </c>
      <c r="W424" s="36">
        <v>0</v>
      </c>
      <c r="X424" s="36">
        <v>0</v>
      </c>
      <c r="Y424" s="36">
        <v>0</v>
      </c>
      <c r="Z424" s="36">
        <v>0</v>
      </c>
      <c r="AA424" s="36">
        <v>0</v>
      </c>
      <c r="AB424" s="36">
        <v>0</v>
      </c>
      <c r="AC424" s="36">
        <v>0</v>
      </c>
      <c r="AD424" s="36">
        <v>0</v>
      </c>
      <c r="AE424" s="36">
        <v>0</v>
      </c>
      <c r="AF424" s="36">
        <v>0</v>
      </c>
      <c r="AG424" s="36">
        <v>0</v>
      </c>
      <c r="AH424" s="36">
        <v>0</v>
      </c>
      <c r="AI424" s="36">
        <v>0</v>
      </c>
      <c r="AJ424" s="36">
        <v>0</v>
      </c>
      <c r="AK424" s="36">
        <v>0</v>
      </c>
      <c r="AL424" s="36">
        <v>0</v>
      </c>
      <c r="AM424" s="36">
        <v>0</v>
      </c>
      <c r="AN424" s="36">
        <v>0</v>
      </c>
      <c r="AO424" s="36">
        <v>0</v>
      </c>
      <c r="AP424" s="36">
        <v>0</v>
      </c>
      <c r="AQ424" s="36">
        <v>0</v>
      </c>
      <c r="AR424" s="36">
        <v>0</v>
      </c>
      <c r="AS424" s="36">
        <v>0</v>
      </c>
      <c r="AT424" s="36">
        <v>0</v>
      </c>
      <c r="AU424" s="36">
        <v>0</v>
      </c>
      <c r="AV424" s="36">
        <v>0</v>
      </c>
      <c r="AW424" s="36">
        <v>0</v>
      </c>
      <c r="AX424" s="36">
        <v>0</v>
      </c>
      <c r="AY424" s="36">
        <v>0</v>
      </c>
      <c r="AZ424" s="36">
        <v>0</v>
      </c>
    </row>
    <row r="425" spans="2:52" ht="17" customHeight="1" x14ac:dyDescent="0.45">
      <c r="B425" s="8" t="s">
        <v>138</v>
      </c>
      <c r="C425" s="30" t="s">
        <v>5</v>
      </c>
      <c r="D425" s="17" t="str">
        <f>IF('TECHNOLOGY REGISTER'!D18="","",'TECHNOLOGY REGISTER'!D18)</f>
        <v>Distribution</v>
      </c>
      <c r="E425" s="37" t="s">
        <v>53</v>
      </c>
      <c r="F425" s="24" t="str">
        <f t="shared" si="4"/>
        <v>KES/kWh</v>
      </c>
      <c r="G425" s="37">
        <v>0</v>
      </c>
      <c r="H425" s="37">
        <v>0</v>
      </c>
      <c r="I425" s="37">
        <v>0</v>
      </c>
      <c r="J425" s="37">
        <v>0</v>
      </c>
      <c r="K425" s="37">
        <v>0</v>
      </c>
      <c r="L425" s="37">
        <v>0</v>
      </c>
      <c r="M425" s="37">
        <v>0</v>
      </c>
      <c r="N425" s="37">
        <v>0</v>
      </c>
      <c r="O425" s="37">
        <v>0</v>
      </c>
      <c r="P425" s="37">
        <v>0</v>
      </c>
      <c r="Q425" s="37">
        <v>0</v>
      </c>
      <c r="R425" s="37">
        <v>0</v>
      </c>
      <c r="S425" s="37">
        <v>0</v>
      </c>
      <c r="T425" s="37">
        <v>0</v>
      </c>
      <c r="U425" s="37">
        <v>0</v>
      </c>
      <c r="V425" s="37">
        <v>0</v>
      </c>
      <c r="W425" s="37">
        <v>0</v>
      </c>
      <c r="X425" s="37">
        <v>0</v>
      </c>
      <c r="Y425" s="37">
        <v>0</v>
      </c>
      <c r="Z425" s="37">
        <v>0</v>
      </c>
      <c r="AA425" s="37">
        <v>0</v>
      </c>
      <c r="AB425" s="37">
        <v>0</v>
      </c>
      <c r="AC425" s="37">
        <v>0</v>
      </c>
      <c r="AD425" s="37">
        <v>0</v>
      </c>
      <c r="AE425" s="37">
        <v>0</v>
      </c>
      <c r="AF425" s="37">
        <v>0</v>
      </c>
      <c r="AG425" s="37">
        <v>0</v>
      </c>
      <c r="AH425" s="37">
        <v>0</v>
      </c>
      <c r="AI425" s="37">
        <v>0</v>
      </c>
      <c r="AJ425" s="37">
        <v>0</v>
      </c>
      <c r="AK425" s="37">
        <v>0</v>
      </c>
      <c r="AL425" s="37">
        <v>0</v>
      </c>
      <c r="AM425" s="37">
        <v>0</v>
      </c>
      <c r="AN425" s="37">
        <v>0</v>
      </c>
      <c r="AO425" s="37">
        <v>0</v>
      </c>
      <c r="AP425" s="37">
        <v>0</v>
      </c>
      <c r="AQ425" s="37">
        <v>0</v>
      </c>
      <c r="AR425" s="37">
        <v>0</v>
      </c>
      <c r="AS425" s="37">
        <v>0</v>
      </c>
      <c r="AT425" s="37">
        <v>0</v>
      </c>
      <c r="AU425" s="37">
        <v>0</v>
      </c>
      <c r="AV425" s="37">
        <v>0</v>
      </c>
      <c r="AW425" s="37">
        <v>0</v>
      </c>
      <c r="AX425" s="37">
        <v>0</v>
      </c>
      <c r="AY425" s="37">
        <v>0</v>
      </c>
      <c r="AZ425" s="37">
        <v>0</v>
      </c>
    </row>
    <row r="426" spans="2:52" ht="17" customHeight="1" x14ac:dyDescent="0.45">
      <c r="B426" s="33" t="s">
        <v>138</v>
      </c>
      <c r="C426" s="29" t="s">
        <v>5</v>
      </c>
      <c r="D426" s="19" t="str">
        <f>IF('TECHNOLOGY REGISTER'!D19="","",'TECHNOLOGY REGISTER'!D19)</f>
        <v>Imports</v>
      </c>
      <c r="E426" s="36"/>
      <c r="F426" s="32" t="str">
        <f t="shared" si="4"/>
        <v/>
      </c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</row>
    <row r="427" spans="2:52" ht="17" customHeight="1" x14ac:dyDescent="0.45">
      <c r="B427" s="8" t="s">
        <v>138</v>
      </c>
      <c r="C427" s="30" t="s">
        <v>5</v>
      </c>
      <c r="D427" s="17" t="str">
        <f>IF('TECHNOLOGY REGISTER'!D20="","",'TECHNOLOGY REGISTER'!D20)</f>
        <v>Energy Exports</v>
      </c>
      <c r="E427" s="37"/>
      <c r="F427" s="24" t="str">
        <f t="shared" si="4"/>
        <v/>
      </c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</row>
    <row r="428" spans="2:52" ht="17" customHeight="1" x14ac:dyDescent="0.45">
      <c r="B428" s="33" t="s">
        <v>138</v>
      </c>
      <c r="C428" s="29" t="s">
        <v>5</v>
      </c>
      <c r="D428" s="19" t="str">
        <f>IF('TECHNOLOGY REGISTER'!D21="","",'TECHNOLOGY REGISTER'!D21)</f>
        <v>Direct Solar</v>
      </c>
      <c r="E428" s="36"/>
      <c r="F428" s="32" t="str">
        <f t="shared" si="4"/>
        <v/>
      </c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</row>
    <row r="429" spans="2:52" ht="15" customHeight="1" x14ac:dyDescent="0.45">
      <c r="B429" s="8" t="s">
        <v>138</v>
      </c>
      <c r="C429" s="30" t="s">
        <v>5</v>
      </c>
      <c r="D429" s="17" t="str">
        <f>IF('TECHNOLOGY REGISTER'!D22="","",'TECHNOLOGY REGISTER'!D22)</f>
        <v>Direct Oil</v>
      </c>
      <c r="E429" s="16"/>
      <c r="F429" s="24" t="str">
        <f t="shared" si="4"/>
        <v/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</row>
    <row r="430" spans="2:52" ht="15" customHeight="1" x14ac:dyDescent="0.45">
      <c r="B430" s="33" t="s">
        <v>138</v>
      </c>
      <c r="C430" s="29" t="s">
        <v>5</v>
      </c>
      <c r="D430" s="19" t="str">
        <f>IF('TECHNOLOGY REGISTER'!D23="","",'TECHNOLOGY REGISTER'!D23)</f>
        <v>Direct Hydro</v>
      </c>
      <c r="E430" s="18"/>
      <c r="F430" s="32" t="str">
        <f t="shared" si="4"/>
        <v/>
      </c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</row>
    <row r="431" spans="2:52" ht="15" customHeight="1" x14ac:dyDescent="0.45">
      <c r="B431" s="8" t="s">
        <v>138</v>
      </c>
      <c r="C431" s="30" t="s">
        <v>5</v>
      </c>
      <c r="D431" s="17" t="str">
        <f>IF('TECHNOLOGY REGISTER'!D24="","",'TECHNOLOGY REGISTER'!D24)</f>
        <v/>
      </c>
      <c r="E431" s="16"/>
      <c r="F431" s="24" t="str">
        <f t="shared" si="4"/>
        <v/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</row>
    <row r="432" spans="2:52" ht="15" customHeight="1" x14ac:dyDescent="0.45">
      <c r="B432" s="33" t="s">
        <v>138</v>
      </c>
      <c r="C432" s="29" t="s">
        <v>5</v>
      </c>
      <c r="D432" s="19" t="str">
        <f>IF('TECHNOLOGY REGISTER'!D25="","",'TECHNOLOGY REGISTER'!D25)</f>
        <v/>
      </c>
      <c r="E432" s="18"/>
      <c r="F432" s="32" t="str">
        <f t="shared" si="4"/>
        <v/>
      </c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</row>
    <row r="433" spans="2:52" ht="15" customHeight="1" x14ac:dyDescent="0.45">
      <c r="B433" s="8" t="s">
        <v>138</v>
      </c>
      <c r="C433" s="30" t="s">
        <v>5</v>
      </c>
      <c r="D433" s="17" t="str">
        <f>IF('TECHNOLOGY REGISTER'!D26="","",'TECHNOLOGY REGISTER'!D26)</f>
        <v/>
      </c>
      <c r="E433" s="16"/>
      <c r="F433" s="24" t="str">
        <f t="shared" si="4"/>
        <v/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</row>
    <row r="434" spans="2:52" ht="15" customHeight="1" x14ac:dyDescent="0.45">
      <c r="B434" s="33" t="s">
        <v>138</v>
      </c>
      <c r="C434" s="29" t="s">
        <v>5</v>
      </c>
      <c r="D434" s="19" t="str">
        <f>IF('TECHNOLOGY REGISTER'!D27="","",'TECHNOLOGY REGISTER'!D27)</f>
        <v/>
      </c>
      <c r="E434" s="18"/>
      <c r="F434" s="32" t="str">
        <f t="shared" si="4"/>
        <v/>
      </c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</row>
    <row r="435" spans="2:52" ht="15" customHeight="1" x14ac:dyDescent="0.45">
      <c r="B435" s="8" t="s">
        <v>138</v>
      </c>
      <c r="C435" s="30" t="s">
        <v>5</v>
      </c>
      <c r="D435" s="17" t="str">
        <f>IF('TECHNOLOGY REGISTER'!D28="","",'TECHNOLOGY REGISTER'!D28)</f>
        <v/>
      </c>
      <c r="E435" s="16"/>
      <c r="F435" s="24" t="str">
        <f t="shared" si="4"/>
        <v/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</row>
    <row r="436" spans="2:52" ht="15" customHeight="1" x14ac:dyDescent="0.45">
      <c r="B436" s="33" t="s">
        <v>138</v>
      </c>
      <c r="C436" s="29" t="s">
        <v>5</v>
      </c>
      <c r="D436" s="19" t="str">
        <f>IF('TECHNOLOGY REGISTER'!D29="","",'TECHNOLOGY REGISTER'!D29)</f>
        <v/>
      </c>
      <c r="E436" s="18"/>
      <c r="F436" s="32" t="str">
        <f t="shared" si="4"/>
        <v/>
      </c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</row>
    <row r="437" spans="2:52" ht="15" customHeight="1" x14ac:dyDescent="0.45">
      <c r="B437" s="8" t="s">
        <v>138</v>
      </c>
      <c r="C437" s="30" t="s">
        <v>5</v>
      </c>
      <c r="D437" s="17" t="str">
        <f>IF('TECHNOLOGY REGISTER'!D30="","",'TECHNOLOGY REGISTER'!D30)</f>
        <v/>
      </c>
      <c r="E437" s="16"/>
      <c r="F437" s="24" t="str">
        <f t="shared" si="4"/>
        <v/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</row>
    <row r="438" spans="2:52" ht="15" customHeight="1" x14ac:dyDescent="0.45">
      <c r="B438" s="33" t="s">
        <v>138</v>
      </c>
      <c r="C438" s="29" t="s">
        <v>5</v>
      </c>
      <c r="D438" s="19" t="str">
        <f>IF('TECHNOLOGY REGISTER'!D31="","",'TECHNOLOGY REGISTER'!D31)</f>
        <v/>
      </c>
      <c r="E438" s="18"/>
      <c r="F438" s="32" t="str">
        <f t="shared" si="4"/>
        <v/>
      </c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</row>
    <row r="439" spans="2:52" ht="15" customHeight="1" x14ac:dyDescent="0.45">
      <c r="B439" s="8" t="s">
        <v>138</v>
      </c>
      <c r="C439" s="30" t="s">
        <v>5</v>
      </c>
      <c r="D439" s="17" t="str">
        <f>IF('TECHNOLOGY REGISTER'!D32="","",'TECHNOLOGY REGISTER'!D32)</f>
        <v/>
      </c>
      <c r="E439" s="16"/>
      <c r="F439" s="24" t="str">
        <f t="shared" si="4"/>
        <v/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</row>
    <row r="440" spans="2:52" ht="15" customHeight="1" x14ac:dyDescent="0.45">
      <c r="B440" s="33" t="s">
        <v>138</v>
      </c>
      <c r="C440" s="29" t="s">
        <v>5</v>
      </c>
      <c r="D440" s="19" t="str">
        <f>IF('TECHNOLOGY REGISTER'!D33="","",'TECHNOLOGY REGISTER'!D33)</f>
        <v/>
      </c>
      <c r="E440" s="18"/>
      <c r="F440" s="32" t="str">
        <f t="shared" si="4"/>
        <v/>
      </c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</row>
    <row r="441" spans="2:52" ht="15" customHeight="1" x14ac:dyDescent="0.45">
      <c r="B441" s="8" t="s">
        <v>138</v>
      </c>
      <c r="C441" s="30" t="s">
        <v>5</v>
      </c>
      <c r="D441" s="17" t="str">
        <f>IF('TECHNOLOGY REGISTER'!D34="","",'TECHNOLOGY REGISTER'!D34)</f>
        <v/>
      </c>
      <c r="E441" s="16"/>
      <c r="F441" s="24" t="str">
        <f t="shared" si="4"/>
        <v/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</row>
    <row r="442" spans="2:52" ht="15" customHeight="1" x14ac:dyDescent="0.45">
      <c r="B442" s="33" t="s">
        <v>138</v>
      </c>
      <c r="C442" s="29" t="s">
        <v>5</v>
      </c>
      <c r="D442" s="19" t="str">
        <f>IF('TECHNOLOGY REGISTER'!D35="","",'TECHNOLOGY REGISTER'!D35)</f>
        <v/>
      </c>
      <c r="E442" s="18"/>
      <c r="F442" s="32" t="str">
        <f t="shared" si="4"/>
        <v/>
      </c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</row>
    <row r="443" spans="2:52" ht="15" customHeight="1" x14ac:dyDescent="0.45">
      <c r="B443" s="8" t="s">
        <v>138</v>
      </c>
      <c r="C443" s="30" t="s">
        <v>5</v>
      </c>
      <c r="D443" s="17" t="str">
        <f>IF('TECHNOLOGY REGISTER'!D36="","",'TECHNOLOGY REGISTER'!D36)</f>
        <v/>
      </c>
      <c r="E443" s="16"/>
      <c r="F443" s="24" t="str">
        <f t="shared" si="4"/>
        <v/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</row>
    <row r="444" spans="2:52" ht="15" customHeight="1" x14ac:dyDescent="0.45">
      <c r="B444" s="33" t="s">
        <v>138</v>
      </c>
      <c r="C444" s="29" t="s">
        <v>5</v>
      </c>
      <c r="D444" s="19" t="str">
        <f>IF('TECHNOLOGY REGISTER'!D37="","",'TECHNOLOGY REGISTER'!D37)</f>
        <v/>
      </c>
      <c r="E444" s="18"/>
      <c r="F444" s="32" t="str">
        <f t="shared" si="4"/>
        <v/>
      </c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</row>
    <row r="445" spans="2:52" ht="15" customHeight="1" x14ac:dyDescent="0.45">
      <c r="B445" s="8" t="s">
        <v>138</v>
      </c>
      <c r="C445" s="30" t="s">
        <v>5</v>
      </c>
      <c r="D445" s="17" t="str">
        <f>IF('TECHNOLOGY REGISTER'!D38="","",'TECHNOLOGY REGISTER'!D38)</f>
        <v/>
      </c>
      <c r="E445" s="16"/>
      <c r="F445" s="24" t="str">
        <f t="shared" si="4"/>
        <v/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</row>
    <row r="446" spans="2:52" ht="15" customHeight="1" x14ac:dyDescent="0.45">
      <c r="B446" s="33" t="s">
        <v>138</v>
      </c>
      <c r="C446" s="29" t="s">
        <v>5</v>
      </c>
      <c r="D446" s="19" t="str">
        <f>IF('TECHNOLOGY REGISTER'!D39="","",'TECHNOLOGY REGISTER'!D39)</f>
        <v/>
      </c>
      <c r="E446" s="18"/>
      <c r="F446" s="32" t="str">
        <f t="shared" si="4"/>
        <v/>
      </c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</row>
    <row r="447" spans="2:52" ht="15" customHeight="1" x14ac:dyDescent="0.45">
      <c r="B447" s="8" t="s">
        <v>138</v>
      </c>
      <c r="C447" s="30" t="s">
        <v>5</v>
      </c>
      <c r="D447" s="17" t="str">
        <f>IF('TECHNOLOGY REGISTER'!D40="","",'TECHNOLOGY REGISTER'!D40)</f>
        <v/>
      </c>
      <c r="E447" s="16"/>
      <c r="F447" s="24" t="str">
        <f t="shared" si="4"/>
        <v/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</row>
    <row r="448" spans="2:52" ht="15" customHeight="1" x14ac:dyDescent="0.45">
      <c r="B448" s="33" t="s">
        <v>138</v>
      </c>
      <c r="C448" s="29" t="s">
        <v>5</v>
      </c>
      <c r="D448" s="19" t="str">
        <f>IF('TECHNOLOGY REGISTER'!D41="","",'TECHNOLOGY REGISTER'!D41)</f>
        <v/>
      </c>
      <c r="E448" s="18"/>
      <c r="F448" s="32" t="str">
        <f t="shared" si="4"/>
        <v/>
      </c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</row>
    <row r="449" spans="2:52" ht="15" customHeight="1" x14ac:dyDescent="0.45">
      <c r="B449" s="8" t="s">
        <v>138</v>
      </c>
      <c r="C449" s="30" t="s">
        <v>5</v>
      </c>
      <c r="D449" s="17" t="str">
        <f>IF('TECHNOLOGY REGISTER'!D42="","",'TECHNOLOGY REGISTER'!D42)</f>
        <v/>
      </c>
      <c r="E449" s="16"/>
      <c r="F449" s="24" t="str">
        <f t="shared" si="4"/>
        <v/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</row>
    <row r="450" spans="2:52" ht="15" customHeight="1" x14ac:dyDescent="0.45">
      <c r="B450" s="33" t="s">
        <v>138</v>
      </c>
      <c r="C450" s="29" t="s">
        <v>5</v>
      </c>
      <c r="D450" s="19" t="str">
        <f>IF('TECHNOLOGY REGISTER'!D43="","",'TECHNOLOGY REGISTER'!D43)</f>
        <v/>
      </c>
      <c r="E450" s="18"/>
      <c r="F450" s="32" t="str">
        <f t="shared" si="4"/>
        <v/>
      </c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</row>
    <row r="451" spans="2:52" ht="15" customHeight="1" x14ac:dyDescent="0.45">
      <c r="B451" s="8" t="s">
        <v>138</v>
      </c>
      <c r="C451" s="30" t="s">
        <v>5</v>
      </c>
      <c r="D451" s="17" t="str">
        <f>IF('TECHNOLOGY REGISTER'!D44="","",'TECHNOLOGY REGISTER'!D44)</f>
        <v/>
      </c>
      <c r="E451" s="16"/>
      <c r="F451" s="24" t="str">
        <f t="shared" si="4"/>
        <v/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</row>
    <row r="452" spans="2:52" ht="15" customHeight="1" x14ac:dyDescent="0.45">
      <c r="B452" s="33" t="s">
        <v>138</v>
      </c>
      <c r="C452" s="29" t="s">
        <v>5</v>
      </c>
      <c r="D452" s="19" t="str">
        <f>IF('TECHNOLOGY REGISTER'!D45="","",'TECHNOLOGY REGISTER'!D45)</f>
        <v/>
      </c>
      <c r="E452" s="18"/>
      <c r="F452" s="32" t="str">
        <f t="shared" si="4"/>
        <v/>
      </c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</row>
    <row r="453" spans="2:52" ht="15" customHeight="1" x14ac:dyDescent="0.45">
      <c r="B453" s="8" t="s">
        <v>138</v>
      </c>
      <c r="C453" s="30" t="s">
        <v>5</v>
      </c>
      <c r="D453" s="17" t="str">
        <f>IF('TECHNOLOGY REGISTER'!D46="","",'TECHNOLOGY REGISTER'!D46)</f>
        <v/>
      </c>
      <c r="E453" s="16"/>
      <c r="F453" s="24" t="str">
        <f t="shared" si="4"/>
        <v/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</row>
    <row r="454" spans="2:52" ht="15" customHeight="1" x14ac:dyDescent="0.45">
      <c r="B454" s="33" t="s">
        <v>138</v>
      </c>
      <c r="C454" s="29" t="s">
        <v>5</v>
      </c>
      <c r="D454" s="19" t="str">
        <f>IF('TECHNOLOGY REGISTER'!D47="","",'TECHNOLOGY REGISTER'!D47)</f>
        <v/>
      </c>
      <c r="E454" s="18"/>
      <c r="F454" s="32" t="str">
        <f t="shared" si="4"/>
        <v/>
      </c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</row>
    <row r="455" spans="2:52" ht="15" customHeight="1" x14ac:dyDescent="0.45">
      <c r="B455" s="8" t="s">
        <v>138</v>
      </c>
      <c r="C455" s="30" t="s">
        <v>5</v>
      </c>
      <c r="D455" s="17" t="str">
        <f>IF('TECHNOLOGY REGISTER'!D48="","",'TECHNOLOGY REGISTER'!D48)</f>
        <v/>
      </c>
      <c r="E455" s="16"/>
      <c r="F455" s="24" t="str">
        <f t="shared" si="4"/>
        <v/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</row>
    <row r="456" spans="2:52" ht="15" customHeight="1" x14ac:dyDescent="0.45">
      <c r="B456" s="33" t="s">
        <v>138</v>
      </c>
      <c r="C456" s="29" t="s">
        <v>5</v>
      </c>
      <c r="D456" s="19" t="str">
        <f>IF('TECHNOLOGY REGISTER'!D49="","",'TECHNOLOGY REGISTER'!D49)</f>
        <v/>
      </c>
      <c r="E456" s="18"/>
      <c r="F456" s="32" t="str">
        <f t="shared" si="4"/>
        <v/>
      </c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</row>
    <row r="457" spans="2:52" ht="15" customHeight="1" x14ac:dyDescent="0.45">
      <c r="B457" s="8" t="s">
        <v>138</v>
      </c>
      <c r="C457" s="30" t="s">
        <v>5</v>
      </c>
      <c r="D457" s="17" t="str">
        <f>IF('TECHNOLOGY REGISTER'!D50="","",'TECHNOLOGY REGISTER'!D50)</f>
        <v/>
      </c>
      <c r="E457" s="16"/>
      <c r="F457" s="24" t="str">
        <f t="shared" si="4"/>
        <v/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</row>
    <row r="458" spans="2:52" ht="15" customHeight="1" x14ac:dyDescent="0.45">
      <c r="B458" s="33" t="s">
        <v>138</v>
      </c>
      <c r="C458" s="29" t="s">
        <v>5</v>
      </c>
      <c r="D458" s="19" t="str">
        <f>IF('TECHNOLOGY REGISTER'!D51="","",'TECHNOLOGY REGISTER'!D51)</f>
        <v/>
      </c>
      <c r="E458" s="18"/>
      <c r="F458" s="32" t="str">
        <f t="shared" si="4"/>
        <v/>
      </c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</row>
    <row r="459" spans="2:52" ht="15" customHeight="1" x14ac:dyDescent="0.45">
      <c r="B459" s="8" t="s">
        <v>138</v>
      </c>
      <c r="C459" s="30" t="s">
        <v>5</v>
      </c>
      <c r="D459" s="17" t="str">
        <f>IF('TECHNOLOGY REGISTER'!D52="","",'TECHNOLOGY REGISTER'!D52)</f>
        <v/>
      </c>
      <c r="E459" s="16"/>
      <c r="F459" s="24" t="str">
        <f t="shared" si="4"/>
        <v/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</row>
    <row r="460" spans="2:52" ht="15" customHeight="1" x14ac:dyDescent="0.45">
      <c r="B460" s="33" t="s">
        <v>138</v>
      </c>
      <c r="C460" s="29" t="s">
        <v>5</v>
      </c>
      <c r="D460" s="19" t="str">
        <f>IF('TECHNOLOGY REGISTER'!D53="","",'TECHNOLOGY REGISTER'!D53)</f>
        <v/>
      </c>
      <c r="E460" s="18"/>
      <c r="F460" s="32" t="str">
        <f t="shared" si="4"/>
        <v/>
      </c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</row>
    <row r="461" spans="2:52" ht="15" customHeight="1" x14ac:dyDescent="0.45">
      <c r="B461" s="8" t="s">
        <v>138</v>
      </c>
      <c r="C461" s="30" t="s">
        <v>5</v>
      </c>
      <c r="D461" s="17" t="str">
        <f>IF('TECHNOLOGY REGISTER'!D54="","",'TECHNOLOGY REGISTER'!D54)</f>
        <v/>
      </c>
      <c r="E461" s="16"/>
      <c r="F461" s="24" t="str">
        <f t="shared" si="4"/>
        <v/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</row>
    <row r="462" spans="2:52" ht="15" customHeight="1" x14ac:dyDescent="0.45">
      <c r="B462" s="33" t="s">
        <v>138</v>
      </c>
      <c r="C462" s="29" t="s">
        <v>5</v>
      </c>
      <c r="D462" s="19" t="str">
        <f>IF('TECHNOLOGY REGISTER'!D55="","",'TECHNOLOGY REGISTER'!D55)</f>
        <v/>
      </c>
      <c r="E462" s="18"/>
      <c r="F462" s="32" t="str">
        <f t="shared" si="4"/>
        <v/>
      </c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</row>
    <row r="463" spans="2:52" ht="15" customHeight="1" x14ac:dyDescent="0.45">
      <c r="B463" s="8" t="s">
        <v>138</v>
      </c>
      <c r="C463" s="30" t="s">
        <v>5</v>
      </c>
      <c r="D463" s="17" t="str">
        <f>IF('TECHNOLOGY REGISTER'!D56="","",'TECHNOLOGY REGISTER'!D56)</f>
        <v/>
      </c>
      <c r="E463" s="16"/>
      <c r="F463" s="24" t="str">
        <f t="shared" si="4"/>
        <v/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</row>
  </sheetData>
  <mergeCells count="10">
    <mergeCell ref="B1:AZ1"/>
    <mergeCell ref="B311:AZ311"/>
    <mergeCell ref="B362:AZ362"/>
    <mergeCell ref="B413:AZ413"/>
    <mergeCell ref="B5:AZ5"/>
    <mergeCell ref="B56:AZ56"/>
    <mergeCell ref="B107:AZ107"/>
    <mergeCell ref="B158:AZ158"/>
    <mergeCell ref="B209:AZ209"/>
    <mergeCell ref="B260:AZ260"/>
  </mergeCells>
  <hyperlinks>
    <hyperlink ref="B2" location="COVER!A1" display="← Return to COVER" xr:uid="{CC44946B-A440-8E40-BFE3-8F6D196EEC6B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343C3E-6F26-FE48-86B0-D3C647A46BA7}">
          <x14:formula1>
            <xm:f>MACROECONOMIC!$C$8:$C$17</xm:f>
          </x14:formula1>
          <xm:sqref>E159:E208 E210:E259 E312:E361 E363:E412 E414:E463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44F1-8E6A-9A4C-8C00-99B7731D8D7F}">
  <sheetPr>
    <tabColor theme="6"/>
  </sheetPr>
  <dimension ref="B1:BB514"/>
  <sheetViews>
    <sheetView showGridLines="0" zoomScale="255" zoomScaleNormal="70" workbookViewId="0">
      <pane xSplit="4" ySplit="4" topLeftCell="E5" activePane="bottomRight" state="frozen"/>
      <selection pane="topRight"/>
      <selection pane="bottomLeft"/>
      <selection pane="bottomRight" activeCell="G17" sqref="G17"/>
    </sheetView>
  </sheetViews>
  <sheetFormatPr defaultColWidth="8.8125" defaultRowHeight="14.25" x14ac:dyDescent="0.45"/>
  <cols>
    <col min="1" max="1" width="3" style="15" customWidth="1"/>
    <col min="2" max="2" width="26.1875" style="15" bestFit="1" customWidth="1"/>
    <col min="3" max="3" width="13" style="15" customWidth="1"/>
    <col min="4" max="4" width="10" style="15" bestFit="1" customWidth="1"/>
    <col min="5" max="6" width="10" style="15" customWidth="1"/>
    <col min="7" max="7" width="10.5" style="15" bestFit="1" customWidth="1"/>
    <col min="8" max="8" width="12.6875" style="15" bestFit="1" customWidth="1"/>
    <col min="9" max="54" width="8" style="15" customWidth="1"/>
    <col min="55" max="16384" width="8.8125" style="15"/>
  </cols>
  <sheetData>
    <row r="1" spans="2:54" ht="36" customHeight="1" x14ac:dyDescent="0.45">
      <c r="B1" s="70" t="s">
        <v>181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</row>
    <row r="2" spans="2:54" ht="14" customHeight="1" x14ac:dyDescent="0.45">
      <c r="B2" s="52" t="s">
        <v>94</v>
      </c>
    </row>
    <row r="3" spans="2:54" ht="14" customHeight="1" x14ac:dyDescent="0.45">
      <c r="B3" s="28"/>
    </row>
    <row r="4" spans="2:54" ht="24" customHeight="1" thickBot="1" x14ac:dyDescent="0.5">
      <c r="B4" s="5" t="s">
        <v>72</v>
      </c>
      <c r="C4" s="5" t="s">
        <v>73</v>
      </c>
      <c r="D4" s="5" t="s">
        <v>2</v>
      </c>
      <c r="E4" s="5" t="s">
        <v>43</v>
      </c>
      <c r="F4" s="5" t="s">
        <v>0</v>
      </c>
      <c r="G4" s="5" t="s">
        <v>153</v>
      </c>
      <c r="H4" s="5" t="s">
        <v>96</v>
      </c>
      <c r="I4" s="5">
        <v>2025</v>
      </c>
      <c r="J4" s="5">
        <v>2026</v>
      </c>
      <c r="K4" s="5">
        <v>2027</v>
      </c>
      <c r="L4" s="5">
        <v>2028</v>
      </c>
      <c r="M4" s="5">
        <v>2029</v>
      </c>
      <c r="N4" s="5">
        <v>2030</v>
      </c>
      <c r="O4" s="5">
        <v>2031</v>
      </c>
      <c r="P4" s="5">
        <v>2032</v>
      </c>
      <c r="Q4" s="5">
        <v>2033</v>
      </c>
      <c r="R4" s="5">
        <v>2034</v>
      </c>
      <c r="S4" s="5">
        <v>2035</v>
      </c>
      <c r="T4" s="5">
        <v>2036</v>
      </c>
      <c r="U4" s="5">
        <v>2037</v>
      </c>
      <c r="V4" s="5">
        <v>2038</v>
      </c>
      <c r="W4" s="5">
        <v>2039</v>
      </c>
      <c r="X4" s="5">
        <v>2040</v>
      </c>
      <c r="Y4" s="5">
        <v>2041</v>
      </c>
      <c r="Z4" s="5">
        <v>2042</v>
      </c>
      <c r="AA4" s="5">
        <v>2043</v>
      </c>
      <c r="AB4" s="5">
        <v>2044</v>
      </c>
      <c r="AC4" s="5">
        <v>2045</v>
      </c>
      <c r="AD4" s="5">
        <v>2046</v>
      </c>
      <c r="AE4" s="5">
        <v>2047</v>
      </c>
      <c r="AF4" s="5">
        <v>2048</v>
      </c>
      <c r="AG4" s="5">
        <v>2049</v>
      </c>
      <c r="AH4" s="5">
        <v>2050</v>
      </c>
      <c r="AI4" s="5">
        <v>2051</v>
      </c>
      <c r="AJ4" s="5">
        <v>2052</v>
      </c>
      <c r="AK4" s="5">
        <v>2053</v>
      </c>
      <c r="AL4" s="5">
        <v>2054</v>
      </c>
      <c r="AM4" s="5">
        <v>2055</v>
      </c>
      <c r="AN4" s="5">
        <v>2056</v>
      </c>
      <c r="AO4" s="5">
        <v>2057</v>
      </c>
      <c r="AP4" s="5">
        <v>2058</v>
      </c>
      <c r="AQ4" s="5">
        <v>2059</v>
      </c>
      <c r="AR4" s="5">
        <v>2060</v>
      </c>
      <c r="AS4" s="5">
        <v>2061</v>
      </c>
      <c r="AT4" s="5">
        <v>2062</v>
      </c>
      <c r="AU4" s="5">
        <v>2063</v>
      </c>
      <c r="AV4" s="5">
        <v>2064</v>
      </c>
      <c r="AW4" s="5">
        <v>2065</v>
      </c>
      <c r="AX4" s="5">
        <v>2066</v>
      </c>
      <c r="AY4" s="5">
        <v>2067</v>
      </c>
      <c r="AZ4" s="5">
        <v>2068</v>
      </c>
      <c r="BA4" s="5">
        <v>2069</v>
      </c>
      <c r="BB4" s="5">
        <v>2070</v>
      </c>
    </row>
    <row r="5" spans="2:54" customFormat="1" ht="20" customHeight="1" x14ac:dyDescent="0.5">
      <c r="B5" s="69" t="s">
        <v>154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</row>
    <row r="6" spans="2:54" ht="17" customHeight="1" x14ac:dyDescent="0.45">
      <c r="B6" s="39" t="s">
        <v>155</v>
      </c>
      <c r="C6" s="29" t="s">
        <v>5</v>
      </c>
      <c r="D6" s="19" t="str">
        <f>IF('TECHNOLOGY REGISTER'!D7="","",'TECHNOLOGY REGISTER'!D7)</f>
        <v>Biomass</v>
      </c>
      <c r="E6" s="29" t="s">
        <v>53</v>
      </c>
      <c r="F6" s="41">
        <v>1</v>
      </c>
      <c r="G6" s="29" t="s">
        <v>29</v>
      </c>
      <c r="H6" s="32" t="s">
        <v>98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spans="2:54" ht="17" customHeight="1" x14ac:dyDescent="0.45">
      <c r="B7" s="40" t="s">
        <v>155</v>
      </c>
      <c r="C7" s="30" t="s">
        <v>5</v>
      </c>
      <c r="D7" s="17" t="str">
        <f>IF('TECHNOLOGY REGISTER'!D8="","",'TECHNOLOGY REGISTER'!D8)</f>
        <v>Geothermal</v>
      </c>
      <c r="E7" s="30" t="s">
        <v>53</v>
      </c>
      <c r="F7" s="42">
        <v>1</v>
      </c>
      <c r="G7" s="30" t="s">
        <v>29</v>
      </c>
      <c r="H7" s="24" t="s">
        <v>98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</row>
    <row r="8" spans="2:54" ht="17" customHeight="1" x14ac:dyDescent="0.45">
      <c r="B8" s="39" t="s">
        <v>155</v>
      </c>
      <c r="C8" s="29" t="s">
        <v>5</v>
      </c>
      <c r="D8" s="19" t="str">
        <f>IF('TECHNOLOGY REGISTER'!D9="","",'TECHNOLOGY REGISTER'!D9)</f>
        <v>Solar PV</v>
      </c>
      <c r="E8" s="29" t="s">
        <v>53</v>
      </c>
      <c r="F8" s="41">
        <v>1</v>
      </c>
      <c r="G8" s="29" t="s">
        <v>29</v>
      </c>
      <c r="H8" s="32" t="s">
        <v>98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spans="2:54" ht="17" customHeight="1" x14ac:dyDescent="0.45">
      <c r="B9" s="40" t="s">
        <v>155</v>
      </c>
      <c r="C9" s="30" t="s">
        <v>5</v>
      </c>
      <c r="D9" s="17" t="str">
        <f>IF('TECHNOLOGY REGISTER'!D10="","",'TECHNOLOGY REGISTER'!D10)</f>
        <v>CSP</v>
      </c>
      <c r="E9" s="30" t="s">
        <v>53</v>
      </c>
      <c r="F9" s="42">
        <v>1</v>
      </c>
      <c r="G9" s="30" t="s">
        <v>29</v>
      </c>
      <c r="H9" s="24" t="s">
        <v>98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</row>
    <row r="10" spans="2:54" ht="17" customHeight="1" x14ac:dyDescent="0.45">
      <c r="B10" s="39" t="s">
        <v>155</v>
      </c>
      <c r="C10" s="29" t="s">
        <v>5</v>
      </c>
      <c r="D10" s="19" t="str">
        <f>IF('TECHNOLOGY REGISTER'!D11="","",'TECHNOLOGY REGISTER'!D11)</f>
        <v>Hydropower</v>
      </c>
      <c r="E10" s="29" t="s">
        <v>53</v>
      </c>
      <c r="F10" s="41">
        <v>1</v>
      </c>
      <c r="G10" s="29" t="s">
        <v>29</v>
      </c>
      <c r="H10" s="32" t="s">
        <v>98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spans="2:54" ht="17" customHeight="1" x14ac:dyDescent="0.45">
      <c r="B11" s="40" t="s">
        <v>155</v>
      </c>
      <c r="C11" s="30" t="s">
        <v>5</v>
      </c>
      <c r="D11" s="17" t="str">
        <f>IF('TECHNOLOGY REGISTER'!D12="","",'TECHNOLOGY REGISTER'!D12)</f>
        <v>Nuclear</v>
      </c>
      <c r="E11" s="30" t="s">
        <v>53</v>
      </c>
      <c r="F11" s="42">
        <v>1</v>
      </c>
      <c r="G11" s="30" t="s">
        <v>29</v>
      </c>
      <c r="H11" s="24" t="s">
        <v>98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</row>
    <row r="12" spans="2:54" ht="17" customHeight="1" x14ac:dyDescent="0.45">
      <c r="B12" s="39" t="s">
        <v>155</v>
      </c>
      <c r="C12" s="29" t="s">
        <v>5</v>
      </c>
      <c r="D12" s="19" t="str">
        <f>IF('TECHNOLOGY REGISTER'!D13="","",'TECHNOLOGY REGISTER'!D13)</f>
        <v>Wind</v>
      </c>
      <c r="E12" s="29" t="s">
        <v>53</v>
      </c>
      <c r="F12" s="41">
        <v>1</v>
      </c>
      <c r="G12" s="29" t="s">
        <v>29</v>
      </c>
      <c r="H12" s="32" t="s">
        <v>98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spans="2:54" ht="17" customHeight="1" x14ac:dyDescent="0.45">
      <c r="B13" s="40" t="s">
        <v>155</v>
      </c>
      <c r="C13" s="30" t="s">
        <v>5</v>
      </c>
      <c r="D13" s="17" t="str">
        <f>IF('TECHNOLOGY REGISTER'!D14="","",'TECHNOLOGY REGISTER'!D14)</f>
        <v>Coal</v>
      </c>
      <c r="E13" s="30" t="s">
        <v>53</v>
      </c>
      <c r="F13" s="42">
        <v>1</v>
      </c>
      <c r="G13" s="30" t="s">
        <v>29</v>
      </c>
      <c r="H13" s="24" t="s">
        <v>98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</row>
    <row r="14" spans="2:54" ht="17" customHeight="1" x14ac:dyDescent="0.45">
      <c r="B14" s="39" t="s">
        <v>155</v>
      </c>
      <c r="C14" s="29" t="s">
        <v>5</v>
      </c>
      <c r="D14" s="19" t="str">
        <f>IF('TECHNOLOGY REGISTER'!D15="","",'TECHNOLOGY REGISTER'!D15)</f>
        <v>Oil</v>
      </c>
      <c r="E14" s="29" t="s">
        <v>53</v>
      </c>
      <c r="F14" s="41">
        <v>1</v>
      </c>
      <c r="G14" s="29" t="s">
        <v>13</v>
      </c>
      <c r="H14" s="32" t="s">
        <v>98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spans="2:54" ht="17" customHeight="1" x14ac:dyDescent="0.45">
      <c r="B15" s="40" t="s">
        <v>155</v>
      </c>
      <c r="C15" s="30" t="s">
        <v>5</v>
      </c>
      <c r="D15" s="17" t="str">
        <f>IF('TECHNOLOGY REGISTER'!D16="","",'TECHNOLOGY REGISTER'!D16)</f>
        <v>Gas</v>
      </c>
      <c r="E15" s="30" t="s">
        <v>53</v>
      </c>
      <c r="F15" s="42" t="s">
        <v>69</v>
      </c>
      <c r="G15" s="30" t="s">
        <v>156</v>
      </c>
      <c r="H15" s="24" t="s">
        <v>98</v>
      </c>
      <c r="I15" s="37">
        <v>0.30753409746278976</v>
      </c>
      <c r="J15" s="37">
        <v>0.30753409746278976</v>
      </c>
      <c r="K15" s="37">
        <v>0.30753409746278976</v>
      </c>
      <c r="L15" s="37">
        <v>0.30753409746278976</v>
      </c>
      <c r="M15" s="37">
        <v>0.30753409746278976</v>
      </c>
      <c r="N15" s="37">
        <v>0.30753409746278976</v>
      </c>
      <c r="O15" s="37">
        <v>0.30753409746278976</v>
      </c>
      <c r="P15" s="37">
        <v>0.30753409746278976</v>
      </c>
      <c r="Q15" s="37">
        <v>0.30753409746278976</v>
      </c>
      <c r="R15" s="37">
        <v>0.30753409746278976</v>
      </c>
      <c r="S15" s="37">
        <v>0.30753409746278976</v>
      </c>
      <c r="T15" s="37">
        <v>0.30753409746278976</v>
      </c>
      <c r="U15" s="37">
        <v>0.30753409746278976</v>
      </c>
      <c r="V15" s="37">
        <v>0.30753409746278976</v>
      </c>
      <c r="W15" s="37">
        <v>0.30753409746278976</v>
      </c>
      <c r="X15" s="37">
        <v>0.30753409746278976</v>
      </c>
      <c r="Y15" s="37">
        <v>0.30753409746278976</v>
      </c>
      <c r="Z15" s="37">
        <v>0.30753409746278976</v>
      </c>
      <c r="AA15" s="37">
        <v>0.30753409746278976</v>
      </c>
      <c r="AB15" s="37">
        <v>0.30753409746278976</v>
      </c>
      <c r="AC15" s="37">
        <v>0.30753409746278976</v>
      </c>
      <c r="AD15" s="37">
        <v>0.30753409746278976</v>
      </c>
      <c r="AE15" s="37">
        <v>0.30753409746278976</v>
      </c>
      <c r="AF15" s="37">
        <v>0.30753409746278976</v>
      </c>
      <c r="AG15" s="37">
        <v>0.30753409746278976</v>
      </c>
      <c r="AH15" s="37">
        <v>0.30753409746278976</v>
      </c>
      <c r="AI15" s="37">
        <v>0.30753409746278976</v>
      </c>
      <c r="AJ15" s="37">
        <v>0.30753409746278976</v>
      </c>
      <c r="AK15" s="37">
        <v>0.30753409746278976</v>
      </c>
      <c r="AL15" s="37">
        <v>0.30753409746278976</v>
      </c>
      <c r="AM15" s="37">
        <v>0.30753409746278976</v>
      </c>
      <c r="AN15" s="37">
        <v>0.30753409746278976</v>
      </c>
      <c r="AO15" s="37">
        <v>0.30753409746278976</v>
      </c>
      <c r="AP15" s="37">
        <v>0.30753409746278976</v>
      </c>
      <c r="AQ15" s="37">
        <v>0.30753409746278976</v>
      </c>
      <c r="AR15" s="37">
        <v>0.30753409746278976</v>
      </c>
      <c r="AS15" s="37">
        <v>0.30753409746278976</v>
      </c>
      <c r="AT15" s="37">
        <v>0.30753409746278976</v>
      </c>
      <c r="AU15" s="37">
        <v>0.30753409746278976</v>
      </c>
      <c r="AV15" s="37">
        <v>0.30753409746278976</v>
      </c>
      <c r="AW15" s="37">
        <v>0.30753409746278976</v>
      </c>
      <c r="AX15" s="37">
        <v>0.30753409746278976</v>
      </c>
      <c r="AY15" s="37">
        <v>0.30753409746278976</v>
      </c>
      <c r="AZ15" s="37">
        <v>0.30753409746278976</v>
      </c>
      <c r="BA15" s="37">
        <v>0.30753409746278976</v>
      </c>
      <c r="BB15" s="37">
        <v>0.30753409746278976</v>
      </c>
    </row>
    <row r="16" spans="2:54" ht="17" customHeight="1" x14ac:dyDescent="0.45">
      <c r="B16" s="39" t="s">
        <v>155</v>
      </c>
      <c r="C16" s="29" t="s">
        <v>5</v>
      </c>
      <c r="D16" s="19" t="str">
        <f>IF('TECHNOLOGY REGISTER'!D17="","",'TECHNOLOGY REGISTER'!D17)</f>
        <v>Transmission</v>
      </c>
      <c r="E16" s="29" t="s">
        <v>53</v>
      </c>
      <c r="F16" s="41">
        <v>1</v>
      </c>
      <c r="G16" s="29" t="s">
        <v>29</v>
      </c>
      <c r="H16" s="32" t="s">
        <v>98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2:54" ht="17" customHeight="1" x14ac:dyDescent="0.45">
      <c r="B17" s="40" t="s">
        <v>155</v>
      </c>
      <c r="C17" s="30" t="s">
        <v>5</v>
      </c>
      <c r="D17" s="17" t="str">
        <f>IF('TECHNOLOGY REGISTER'!D18="","",'TECHNOLOGY REGISTER'!D18)</f>
        <v>Distribution</v>
      </c>
      <c r="E17" s="30" t="s">
        <v>53</v>
      </c>
      <c r="F17" s="42">
        <v>1</v>
      </c>
      <c r="G17" s="30" t="s">
        <v>29</v>
      </c>
      <c r="H17" s="24" t="s">
        <v>98</v>
      </c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</row>
    <row r="18" spans="2:54" ht="17" customHeight="1" x14ac:dyDescent="0.45">
      <c r="B18" s="39" t="s">
        <v>155</v>
      </c>
      <c r="C18" s="29"/>
      <c r="D18" s="19" t="str">
        <f>IF('TECHNOLOGY REGISTER'!D19="","",'TECHNOLOGY REGISTER'!D19)</f>
        <v>Imports</v>
      </c>
      <c r="E18" s="29"/>
      <c r="F18" s="41"/>
      <c r="G18" s="29"/>
      <c r="H18" s="32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spans="2:54" ht="17" customHeight="1" x14ac:dyDescent="0.45">
      <c r="B19" s="40" t="s">
        <v>155</v>
      </c>
      <c r="C19" s="30"/>
      <c r="D19" s="17" t="str">
        <f>IF('TECHNOLOGY REGISTER'!D20="","",'TECHNOLOGY REGISTER'!D20)</f>
        <v>Energy Exports</v>
      </c>
      <c r="E19" s="30"/>
      <c r="F19" s="42"/>
      <c r="G19" s="30"/>
      <c r="H19" s="24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</row>
    <row r="20" spans="2:54" ht="17" customHeight="1" x14ac:dyDescent="0.45">
      <c r="B20" s="39" t="s">
        <v>155</v>
      </c>
      <c r="C20" s="29"/>
      <c r="D20" s="19" t="str">
        <f>IF('TECHNOLOGY REGISTER'!D21="","",'TECHNOLOGY REGISTER'!D21)</f>
        <v>Direct Solar</v>
      </c>
      <c r="E20" s="29"/>
      <c r="F20" s="41"/>
      <c r="G20" s="29"/>
      <c r="H20" s="32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spans="2:54" ht="15" customHeight="1" x14ac:dyDescent="0.45">
      <c r="B21" s="40" t="s">
        <v>155</v>
      </c>
      <c r="C21" s="30"/>
      <c r="D21" s="17" t="str">
        <f>IF('TECHNOLOGY REGISTER'!D22="","",'TECHNOLOGY REGISTER'!D22)</f>
        <v>Direct Oil</v>
      </c>
      <c r="E21" s="30"/>
      <c r="F21" s="42"/>
      <c r="G21" s="30"/>
      <c r="H21" s="24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</row>
    <row r="22" spans="2:54" ht="15" customHeight="1" x14ac:dyDescent="0.45">
      <c r="B22" s="39" t="s">
        <v>155</v>
      </c>
      <c r="C22" s="29"/>
      <c r="D22" s="19" t="str">
        <f>IF('TECHNOLOGY REGISTER'!D23="","",'TECHNOLOGY REGISTER'!D23)</f>
        <v>Direct Hydro</v>
      </c>
      <c r="E22" s="29"/>
      <c r="F22" s="41"/>
      <c r="G22" s="29"/>
      <c r="H22" s="32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</row>
    <row r="23" spans="2:54" ht="15" customHeight="1" x14ac:dyDescent="0.45">
      <c r="B23" s="40" t="s">
        <v>155</v>
      </c>
      <c r="C23" s="30"/>
      <c r="D23" s="17" t="str">
        <f>IF('TECHNOLOGY REGISTER'!D24="","",'TECHNOLOGY REGISTER'!D24)</f>
        <v/>
      </c>
      <c r="E23" s="30"/>
      <c r="F23" s="42"/>
      <c r="G23" s="30"/>
      <c r="H23" s="24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</row>
    <row r="24" spans="2:54" ht="15" customHeight="1" x14ac:dyDescent="0.45">
      <c r="B24" s="39" t="s">
        <v>155</v>
      </c>
      <c r="C24" s="29"/>
      <c r="D24" s="19" t="str">
        <f>IF('TECHNOLOGY REGISTER'!D25="","",'TECHNOLOGY REGISTER'!D25)</f>
        <v/>
      </c>
      <c r="E24" s="29"/>
      <c r="F24" s="41"/>
      <c r="G24" s="29"/>
      <c r="H24" s="32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</row>
    <row r="25" spans="2:54" ht="15" customHeight="1" x14ac:dyDescent="0.45">
      <c r="B25" s="40" t="s">
        <v>155</v>
      </c>
      <c r="C25" s="30"/>
      <c r="D25" s="17" t="str">
        <f>IF('TECHNOLOGY REGISTER'!D26="","",'TECHNOLOGY REGISTER'!D26)</f>
        <v/>
      </c>
      <c r="E25" s="30"/>
      <c r="F25" s="42"/>
      <c r="G25" s="30"/>
      <c r="H25" s="24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</row>
    <row r="26" spans="2:54" ht="15" customHeight="1" x14ac:dyDescent="0.45">
      <c r="B26" s="39" t="s">
        <v>155</v>
      </c>
      <c r="C26" s="29"/>
      <c r="D26" s="19" t="str">
        <f>IF('TECHNOLOGY REGISTER'!D27="","",'TECHNOLOGY REGISTER'!D27)</f>
        <v/>
      </c>
      <c r="E26" s="29"/>
      <c r="F26" s="41"/>
      <c r="G26" s="29"/>
      <c r="H26" s="32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</row>
    <row r="27" spans="2:54" ht="15" customHeight="1" x14ac:dyDescent="0.45">
      <c r="B27" s="40" t="s">
        <v>155</v>
      </c>
      <c r="C27" s="30"/>
      <c r="D27" s="17" t="str">
        <f>IF('TECHNOLOGY REGISTER'!D28="","",'TECHNOLOGY REGISTER'!D28)</f>
        <v/>
      </c>
      <c r="E27" s="30"/>
      <c r="F27" s="42"/>
      <c r="G27" s="30"/>
      <c r="H27" s="24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</row>
    <row r="28" spans="2:54" ht="15" customHeight="1" x14ac:dyDescent="0.45">
      <c r="B28" s="39" t="s">
        <v>155</v>
      </c>
      <c r="C28" s="29"/>
      <c r="D28" s="19" t="str">
        <f>IF('TECHNOLOGY REGISTER'!D29="","",'TECHNOLOGY REGISTER'!D29)</f>
        <v/>
      </c>
      <c r="E28" s="29"/>
      <c r="F28" s="41"/>
      <c r="G28" s="29"/>
      <c r="H28" s="32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</row>
    <row r="29" spans="2:54" ht="15" customHeight="1" x14ac:dyDescent="0.45">
      <c r="B29" s="40" t="s">
        <v>155</v>
      </c>
      <c r="C29" s="30"/>
      <c r="D29" s="17" t="str">
        <f>IF('TECHNOLOGY REGISTER'!D30="","",'TECHNOLOGY REGISTER'!D30)</f>
        <v/>
      </c>
      <c r="E29" s="30"/>
      <c r="F29" s="42"/>
      <c r="G29" s="30"/>
      <c r="H29" s="24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</row>
    <row r="30" spans="2:54" ht="15" customHeight="1" x14ac:dyDescent="0.45">
      <c r="B30" s="39" t="s">
        <v>155</v>
      </c>
      <c r="C30" s="29"/>
      <c r="D30" s="19" t="str">
        <f>IF('TECHNOLOGY REGISTER'!D31="","",'TECHNOLOGY REGISTER'!D31)</f>
        <v/>
      </c>
      <c r="E30" s="29"/>
      <c r="F30" s="41"/>
      <c r="G30" s="29"/>
      <c r="H30" s="32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</row>
    <row r="31" spans="2:54" ht="15" customHeight="1" x14ac:dyDescent="0.45">
      <c r="B31" s="40" t="s">
        <v>155</v>
      </c>
      <c r="C31" s="30"/>
      <c r="D31" s="17" t="str">
        <f>IF('TECHNOLOGY REGISTER'!D32="","",'TECHNOLOGY REGISTER'!D32)</f>
        <v/>
      </c>
      <c r="E31" s="30"/>
      <c r="F31" s="42"/>
      <c r="G31" s="30"/>
      <c r="H31" s="24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</row>
    <row r="32" spans="2:54" ht="15" customHeight="1" x14ac:dyDescent="0.45">
      <c r="B32" s="39" t="s">
        <v>155</v>
      </c>
      <c r="C32" s="29"/>
      <c r="D32" s="19" t="str">
        <f>IF('TECHNOLOGY REGISTER'!D33="","",'TECHNOLOGY REGISTER'!D33)</f>
        <v/>
      </c>
      <c r="E32" s="29"/>
      <c r="F32" s="41"/>
      <c r="G32" s="29"/>
      <c r="H32" s="32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</row>
    <row r="33" spans="2:54" ht="15" customHeight="1" x14ac:dyDescent="0.45">
      <c r="B33" s="40" t="s">
        <v>155</v>
      </c>
      <c r="C33" s="30"/>
      <c r="D33" s="17" t="str">
        <f>IF('TECHNOLOGY REGISTER'!D34="","",'TECHNOLOGY REGISTER'!D34)</f>
        <v/>
      </c>
      <c r="E33" s="30"/>
      <c r="F33" s="42"/>
      <c r="G33" s="30"/>
      <c r="H33" s="24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</row>
    <row r="34" spans="2:54" ht="15" customHeight="1" x14ac:dyDescent="0.45">
      <c r="B34" s="39" t="s">
        <v>155</v>
      </c>
      <c r="C34" s="29"/>
      <c r="D34" s="19" t="str">
        <f>IF('TECHNOLOGY REGISTER'!D35="","",'TECHNOLOGY REGISTER'!D35)</f>
        <v/>
      </c>
      <c r="E34" s="29"/>
      <c r="F34" s="41"/>
      <c r="G34" s="29"/>
      <c r="H34" s="32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</row>
    <row r="35" spans="2:54" ht="15" customHeight="1" x14ac:dyDescent="0.45">
      <c r="B35" s="40" t="s">
        <v>155</v>
      </c>
      <c r="C35" s="30"/>
      <c r="D35" s="17" t="str">
        <f>IF('TECHNOLOGY REGISTER'!D36="","",'TECHNOLOGY REGISTER'!D36)</f>
        <v/>
      </c>
      <c r="E35" s="30"/>
      <c r="F35" s="42"/>
      <c r="G35" s="30"/>
      <c r="H35" s="24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</row>
    <row r="36" spans="2:54" ht="15" customHeight="1" x14ac:dyDescent="0.45">
      <c r="B36" s="39" t="s">
        <v>155</v>
      </c>
      <c r="C36" s="29"/>
      <c r="D36" s="19" t="str">
        <f>IF('TECHNOLOGY REGISTER'!D37="","",'TECHNOLOGY REGISTER'!D37)</f>
        <v/>
      </c>
      <c r="E36" s="29"/>
      <c r="F36" s="41"/>
      <c r="G36" s="29"/>
      <c r="H36" s="32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</row>
    <row r="37" spans="2:54" ht="15" customHeight="1" x14ac:dyDescent="0.45">
      <c r="B37" s="40" t="s">
        <v>155</v>
      </c>
      <c r="C37" s="30"/>
      <c r="D37" s="17" t="str">
        <f>IF('TECHNOLOGY REGISTER'!D38="","",'TECHNOLOGY REGISTER'!D38)</f>
        <v/>
      </c>
      <c r="E37" s="30"/>
      <c r="F37" s="42"/>
      <c r="G37" s="30"/>
      <c r="H37" s="24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</row>
    <row r="38" spans="2:54" ht="15" customHeight="1" x14ac:dyDescent="0.45">
      <c r="B38" s="39" t="s">
        <v>155</v>
      </c>
      <c r="C38" s="29"/>
      <c r="D38" s="19" t="str">
        <f>IF('TECHNOLOGY REGISTER'!D39="","",'TECHNOLOGY REGISTER'!D39)</f>
        <v/>
      </c>
      <c r="E38" s="29"/>
      <c r="F38" s="41"/>
      <c r="G38" s="29"/>
      <c r="H38" s="32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</row>
    <row r="39" spans="2:54" ht="15" customHeight="1" x14ac:dyDescent="0.45">
      <c r="B39" s="40" t="s">
        <v>155</v>
      </c>
      <c r="C39" s="30"/>
      <c r="D39" s="17" t="str">
        <f>IF('TECHNOLOGY REGISTER'!D40="","",'TECHNOLOGY REGISTER'!D40)</f>
        <v/>
      </c>
      <c r="E39" s="30"/>
      <c r="F39" s="42"/>
      <c r="G39" s="30"/>
      <c r="H39" s="24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</row>
    <row r="40" spans="2:54" ht="15" customHeight="1" x14ac:dyDescent="0.45">
      <c r="B40" s="39" t="s">
        <v>155</v>
      </c>
      <c r="C40" s="29"/>
      <c r="D40" s="19" t="str">
        <f>IF('TECHNOLOGY REGISTER'!D41="","",'TECHNOLOGY REGISTER'!D41)</f>
        <v/>
      </c>
      <c r="E40" s="29"/>
      <c r="F40" s="41"/>
      <c r="G40" s="29"/>
      <c r="H40" s="32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spans="2:54" ht="15" customHeight="1" x14ac:dyDescent="0.45">
      <c r="B41" s="40" t="s">
        <v>155</v>
      </c>
      <c r="C41" s="30"/>
      <c r="D41" s="17" t="str">
        <f>IF('TECHNOLOGY REGISTER'!D42="","",'TECHNOLOGY REGISTER'!D42)</f>
        <v/>
      </c>
      <c r="E41" s="30"/>
      <c r="F41" s="42"/>
      <c r="G41" s="30"/>
      <c r="H41" s="24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</row>
    <row r="42" spans="2:54" ht="15" customHeight="1" x14ac:dyDescent="0.45">
      <c r="B42" s="39" t="s">
        <v>155</v>
      </c>
      <c r="C42" s="29"/>
      <c r="D42" s="19" t="str">
        <f>IF('TECHNOLOGY REGISTER'!D43="","",'TECHNOLOGY REGISTER'!D43)</f>
        <v/>
      </c>
      <c r="E42" s="29"/>
      <c r="F42" s="41"/>
      <c r="G42" s="29"/>
      <c r="H42" s="32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</row>
    <row r="43" spans="2:54" ht="15" customHeight="1" x14ac:dyDescent="0.45">
      <c r="B43" s="40" t="s">
        <v>155</v>
      </c>
      <c r="C43" s="30"/>
      <c r="D43" s="17" t="str">
        <f>IF('TECHNOLOGY REGISTER'!D44="","",'TECHNOLOGY REGISTER'!D44)</f>
        <v/>
      </c>
      <c r="E43" s="30"/>
      <c r="F43" s="42"/>
      <c r="G43" s="30"/>
      <c r="H43" s="24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</row>
    <row r="44" spans="2:54" ht="15" customHeight="1" x14ac:dyDescent="0.45">
      <c r="B44" s="39" t="s">
        <v>155</v>
      </c>
      <c r="C44" s="29"/>
      <c r="D44" s="19" t="str">
        <f>IF('TECHNOLOGY REGISTER'!D45="","",'TECHNOLOGY REGISTER'!D45)</f>
        <v/>
      </c>
      <c r="E44" s="29"/>
      <c r="F44" s="41"/>
      <c r="G44" s="29"/>
      <c r="H44" s="32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</row>
    <row r="45" spans="2:54" ht="15" customHeight="1" x14ac:dyDescent="0.45">
      <c r="B45" s="40" t="s">
        <v>155</v>
      </c>
      <c r="C45" s="30"/>
      <c r="D45" s="17" t="str">
        <f>IF('TECHNOLOGY REGISTER'!D46="","",'TECHNOLOGY REGISTER'!D46)</f>
        <v/>
      </c>
      <c r="E45" s="30"/>
      <c r="F45" s="42"/>
      <c r="G45" s="30"/>
      <c r="H45" s="24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</row>
    <row r="46" spans="2:54" ht="15" customHeight="1" x14ac:dyDescent="0.45">
      <c r="B46" s="39" t="s">
        <v>155</v>
      </c>
      <c r="C46" s="29"/>
      <c r="D46" s="19" t="str">
        <f>IF('TECHNOLOGY REGISTER'!D47="","",'TECHNOLOGY REGISTER'!D47)</f>
        <v/>
      </c>
      <c r="E46" s="29"/>
      <c r="F46" s="41"/>
      <c r="G46" s="29"/>
      <c r="H46" s="32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</row>
    <row r="47" spans="2:54" ht="15" customHeight="1" x14ac:dyDescent="0.45">
      <c r="B47" s="40" t="s">
        <v>155</v>
      </c>
      <c r="C47" s="30"/>
      <c r="D47" s="17" t="str">
        <f>IF('TECHNOLOGY REGISTER'!D48="","",'TECHNOLOGY REGISTER'!D48)</f>
        <v/>
      </c>
      <c r="E47" s="30"/>
      <c r="F47" s="42"/>
      <c r="G47" s="30"/>
      <c r="H47" s="24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</row>
    <row r="48" spans="2:54" ht="15" customHeight="1" x14ac:dyDescent="0.45">
      <c r="B48" s="39" t="s">
        <v>155</v>
      </c>
      <c r="C48" s="29"/>
      <c r="D48" s="19" t="str">
        <f>IF('TECHNOLOGY REGISTER'!D49="","",'TECHNOLOGY REGISTER'!D49)</f>
        <v/>
      </c>
      <c r="E48" s="29"/>
      <c r="F48" s="41"/>
      <c r="G48" s="29"/>
      <c r="H48" s="32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</row>
    <row r="49" spans="2:54" ht="15" customHeight="1" x14ac:dyDescent="0.45">
      <c r="B49" s="40" t="s">
        <v>155</v>
      </c>
      <c r="C49" s="30"/>
      <c r="D49" s="17" t="str">
        <f>IF('TECHNOLOGY REGISTER'!D50="","",'TECHNOLOGY REGISTER'!D50)</f>
        <v/>
      </c>
      <c r="E49" s="30"/>
      <c r="F49" s="42"/>
      <c r="G49" s="30"/>
      <c r="H49" s="24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</row>
    <row r="50" spans="2:54" ht="15" customHeight="1" x14ac:dyDescent="0.45">
      <c r="B50" s="39" t="s">
        <v>155</v>
      </c>
      <c r="C50" s="29"/>
      <c r="D50" s="19" t="str">
        <f>IF('TECHNOLOGY REGISTER'!D51="","",'TECHNOLOGY REGISTER'!D51)</f>
        <v/>
      </c>
      <c r="E50" s="29"/>
      <c r="F50" s="41"/>
      <c r="G50" s="29"/>
      <c r="H50" s="32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</row>
    <row r="51" spans="2:54" ht="15" customHeight="1" x14ac:dyDescent="0.45">
      <c r="B51" s="40" t="s">
        <v>155</v>
      </c>
      <c r="C51" s="30"/>
      <c r="D51" s="17" t="str">
        <f>IF('TECHNOLOGY REGISTER'!D52="","",'TECHNOLOGY REGISTER'!D52)</f>
        <v/>
      </c>
      <c r="E51" s="30"/>
      <c r="F51" s="42"/>
      <c r="G51" s="30"/>
      <c r="H51" s="24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</row>
    <row r="52" spans="2:54" ht="15" customHeight="1" x14ac:dyDescent="0.45">
      <c r="B52" s="39" t="s">
        <v>155</v>
      </c>
      <c r="C52" s="29"/>
      <c r="D52" s="19" t="str">
        <f>IF('TECHNOLOGY REGISTER'!D53="","",'TECHNOLOGY REGISTER'!D53)</f>
        <v/>
      </c>
      <c r="E52" s="29"/>
      <c r="F52" s="41"/>
      <c r="G52" s="29"/>
      <c r="H52" s="32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</row>
    <row r="53" spans="2:54" ht="15" customHeight="1" x14ac:dyDescent="0.45">
      <c r="B53" s="40" t="s">
        <v>155</v>
      </c>
      <c r="C53" s="30"/>
      <c r="D53" s="17" t="str">
        <f>IF('TECHNOLOGY REGISTER'!D54="","",'TECHNOLOGY REGISTER'!D54)</f>
        <v/>
      </c>
      <c r="E53" s="30"/>
      <c r="F53" s="42"/>
      <c r="G53" s="30"/>
      <c r="H53" s="24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</row>
    <row r="54" spans="2:54" ht="15" customHeight="1" x14ac:dyDescent="0.45">
      <c r="B54" s="39" t="s">
        <v>155</v>
      </c>
      <c r="C54" s="29"/>
      <c r="D54" s="19" t="str">
        <f>IF('TECHNOLOGY REGISTER'!D55="","",'TECHNOLOGY REGISTER'!D55)</f>
        <v/>
      </c>
      <c r="E54" s="29"/>
      <c r="F54" s="41"/>
      <c r="G54" s="29"/>
      <c r="H54" s="32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</row>
    <row r="55" spans="2:54" ht="15" customHeight="1" thickBot="1" x14ac:dyDescent="0.5">
      <c r="B55" s="40" t="s">
        <v>155</v>
      </c>
      <c r="C55" s="30"/>
      <c r="D55" s="17" t="str">
        <f>IF('TECHNOLOGY REGISTER'!D56="","",'TECHNOLOGY REGISTER'!D56)</f>
        <v/>
      </c>
      <c r="E55" s="30"/>
      <c r="F55" s="42"/>
      <c r="G55" s="30"/>
      <c r="H55" s="24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</row>
    <row r="56" spans="2:54" customFormat="1" ht="20" customHeight="1" x14ac:dyDescent="0.5">
      <c r="B56" s="69" t="s">
        <v>157</v>
      </c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</row>
    <row r="57" spans="2:54" ht="17" customHeight="1" x14ac:dyDescent="0.45">
      <c r="B57" s="39" t="s">
        <v>155</v>
      </c>
      <c r="C57" s="29" t="s">
        <v>5</v>
      </c>
      <c r="D57" s="19" t="str">
        <f>IF('TECHNOLOGY REGISTER'!D7="","",'TECHNOLOGY REGISTER'!D7)</f>
        <v>Biomass</v>
      </c>
      <c r="E57" s="29" t="s">
        <v>53</v>
      </c>
      <c r="F57" s="41">
        <v>2</v>
      </c>
      <c r="G57" s="29" t="s">
        <v>29</v>
      </c>
      <c r="H57" s="32" t="s">
        <v>98</v>
      </c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spans="2:54" ht="17" customHeight="1" x14ac:dyDescent="0.45">
      <c r="B58" s="40" t="s">
        <v>155</v>
      </c>
      <c r="C58" s="30" t="s">
        <v>5</v>
      </c>
      <c r="D58" s="17" t="str">
        <f>IF('TECHNOLOGY REGISTER'!D8="","",'TECHNOLOGY REGISTER'!D8)</f>
        <v>Geothermal</v>
      </c>
      <c r="E58" s="30" t="s">
        <v>53</v>
      </c>
      <c r="F58" s="42">
        <v>2</v>
      </c>
      <c r="G58" s="30" t="s">
        <v>29</v>
      </c>
      <c r="H58" s="24" t="s">
        <v>98</v>
      </c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</row>
    <row r="59" spans="2:54" ht="17" customHeight="1" x14ac:dyDescent="0.45">
      <c r="B59" s="39" t="s">
        <v>155</v>
      </c>
      <c r="C59" s="29" t="s">
        <v>5</v>
      </c>
      <c r="D59" s="19" t="str">
        <f>IF('TECHNOLOGY REGISTER'!D9="","",'TECHNOLOGY REGISTER'!D9)</f>
        <v>Solar PV</v>
      </c>
      <c r="E59" s="29" t="s">
        <v>53</v>
      </c>
      <c r="F59" s="41">
        <v>2</v>
      </c>
      <c r="G59" s="29" t="s">
        <v>29</v>
      </c>
      <c r="H59" s="32" t="s">
        <v>98</v>
      </c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spans="2:54" ht="17" customHeight="1" x14ac:dyDescent="0.45">
      <c r="B60" s="40" t="s">
        <v>155</v>
      </c>
      <c r="C60" s="30" t="s">
        <v>5</v>
      </c>
      <c r="D60" s="17" t="str">
        <f>IF('TECHNOLOGY REGISTER'!D10="","",'TECHNOLOGY REGISTER'!D10)</f>
        <v>CSP</v>
      </c>
      <c r="E60" s="30" t="s">
        <v>53</v>
      </c>
      <c r="F60" s="42">
        <v>2</v>
      </c>
      <c r="G60" s="30" t="s">
        <v>29</v>
      </c>
      <c r="H60" s="24" t="s">
        <v>98</v>
      </c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</row>
    <row r="61" spans="2:54" ht="17" customHeight="1" x14ac:dyDescent="0.45">
      <c r="B61" s="39" t="s">
        <v>155</v>
      </c>
      <c r="C61" s="29" t="s">
        <v>5</v>
      </c>
      <c r="D61" s="19" t="str">
        <f>IF('TECHNOLOGY REGISTER'!D11="","",'TECHNOLOGY REGISTER'!D11)</f>
        <v>Hydropower</v>
      </c>
      <c r="E61" s="29" t="s">
        <v>53</v>
      </c>
      <c r="F61" s="41">
        <v>2</v>
      </c>
      <c r="G61" s="29" t="s">
        <v>29</v>
      </c>
      <c r="H61" s="32" t="s">
        <v>98</v>
      </c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spans="2:54" ht="17" customHeight="1" x14ac:dyDescent="0.45">
      <c r="B62" s="40" t="s">
        <v>155</v>
      </c>
      <c r="C62" s="30" t="s">
        <v>5</v>
      </c>
      <c r="D62" s="17" t="str">
        <f>IF('TECHNOLOGY REGISTER'!D12="","",'TECHNOLOGY REGISTER'!D12)</f>
        <v>Nuclear</v>
      </c>
      <c r="E62" s="30" t="s">
        <v>53</v>
      </c>
      <c r="F62" s="42">
        <v>2</v>
      </c>
      <c r="G62" s="30" t="s">
        <v>29</v>
      </c>
      <c r="H62" s="24" t="s">
        <v>98</v>
      </c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</row>
    <row r="63" spans="2:54" ht="17" customHeight="1" x14ac:dyDescent="0.45">
      <c r="B63" s="39" t="s">
        <v>155</v>
      </c>
      <c r="C63" s="29" t="s">
        <v>5</v>
      </c>
      <c r="D63" s="19" t="str">
        <f>IF('TECHNOLOGY REGISTER'!D13="","",'TECHNOLOGY REGISTER'!D13)</f>
        <v>Wind</v>
      </c>
      <c r="E63" s="29" t="s">
        <v>53</v>
      </c>
      <c r="F63" s="41">
        <v>2</v>
      </c>
      <c r="G63" s="29" t="s">
        <v>29</v>
      </c>
      <c r="H63" s="32" t="s">
        <v>98</v>
      </c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spans="2:54" ht="17" customHeight="1" x14ac:dyDescent="0.45">
      <c r="B64" s="40" t="s">
        <v>155</v>
      </c>
      <c r="C64" s="30" t="s">
        <v>5</v>
      </c>
      <c r="D64" s="17" t="str">
        <f>IF('TECHNOLOGY REGISTER'!D14="","",'TECHNOLOGY REGISTER'!D14)</f>
        <v>Coal</v>
      </c>
      <c r="E64" s="30" t="s">
        <v>53</v>
      </c>
      <c r="F64" s="42">
        <v>2</v>
      </c>
      <c r="G64" s="30" t="s">
        <v>29</v>
      </c>
      <c r="H64" s="24" t="s">
        <v>98</v>
      </c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</row>
    <row r="65" spans="2:54" ht="17" customHeight="1" x14ac:dyDescent="0.45">
      <c r="B65" s="39" t="s">
        <v>155</v>
      </c>
      <c r="C65" s="29" t="s">
        <v>5</v>
      </c>
      <c r="D65" s="19" t="str">
        <f>IF('TECHNOLOGY REGISTER'!D15="","",'TECHNOLOGY REGISTER'!D15)</f>
        <v>Oil</v>
      </c>
      <c r="E65" s="29" t="s">
        <v>53</v>
      </c>
      <c r="F65" s="41">
        <v>2</v>
      </c>
      <c r="G65" s="29" t="s">
        <v>13</v>
      </c>
      <c r="H65" s="32" t="s">
        <v>98</v>
      </c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spans="2:54" ht="17" customHeight="1" x14ac:dyDescent="0.45">
      <c r="B66" s="40" t="s">
        <v>155</v>
      </c>
      <c r="C66" s="30" t="s">
        <v>5</v>
      </c>
      <c r="D66" s="17" t="str">
        <f>IF('TECHNOLOGY REGISTER'!D16="","",'TECHNOLOGY REGISTER'!D16)</f>
        <v>Gas</v>
      </c>
      <c r="E66" s="30" t="s">
        <v>53</v>
      </c>
      <c r="F66" s="42" t="s">
        <v>70</v>
      </c>
      <c r="G66" s="30" t="s">
        <v>156</v>
      </c>
      <c r="H66" s="24" t="s">
        <v>98</v>
      </c>
      <c r="I66" s="37">
        <v>0.1738197179010248</v>
      </c>
      <c r="J66" s="37">
        <v>0.1738197179010248</v>
      </c>
      <c r="K66" s="37">
        <v>0.1738197179010248</v>
      </c>
      <c r="L66" s="37">
        <v>0.1738197179010248</v>
      </c>
      <c r="M66" s="37">
        <v>0.1738197179010248</v>
      </c>
      <c r="N66" s="37">
        <v>0.1738197179010248</v>
      </c>
      <c r="O66" s="37">
        <v>0.1738197179010248</v>
      </c>
      <c r="P66" s="37">
        <v>0.1738197179010248</v>
      </c>
      <c r="Q66" s="37">
        <v>0.1738197179010248</v>
      </c>
      <c r="R66" s="37">
        <v>0.1738197179010248</v>
      </c>
      <c r="S66" s="37">
        <v>0.1738197179010248</v>
      </c>
      <c r="T66" s="37">
        <v>0.1738197179010248</v>
      </c>
      <c r="U66" s="37">
        <v>0.1738197179010248</v>
      </c>
      <c r="V66" s="37">
        <v>0.1738197179010248</v>
      </c>
      <c r="W66" s="37">
        <v>0.1738197179010248</v>
      </c>
      <c r="X66" s="37">
        <v>0.1738197179010248</v>
      </c>
      <c r="Y66" s="37">
        <v>0.1738197179010248</v>
      </c>
      <c r="Z66" s="37">
        <v>0.1738197179010248</v>
      </c>
      <c r="AA66" s="37">
        <v>0.1738197179010248</v>
      </c>
      <c r="AB66" s="37">
        <v>0.1738197179010248</v>
      </c>
      <c r="AC66" s="37">
        <v>0.1738197179010248</v>
      </c>
      <c r="AD66" s="37">
        <v>0.1738197179010248</v>
      </c>
      <c r="AE66" s="37">
        <v>0.1738197179010248</v>
      </c>
      <c r="AF66" s="37">
        <v>0.1738197179010248</v>
      </c>
      <c r="AG66" s="37">
        <v>0.1738197179010248</v>
      </c>
      <c r="AH66" s="37">
        <v>0.1738197179010248</v>
      </c>
      <c r="AI66" s="37">
        <v>0.1738197179010248</v>
      </c>
      <c r="AJ66" s="37">
        <v>0.1738197179010248</v>
      </c>
      <c r="AK66" s="37">
        <v>0.1738197179010248</v>
      </c>
      <c r="AL66" s="37">
        <v>0.1738197179010248</v>
      </c>
      <c r="AM66" s="37">
        <v>0.1738197179010248</v>
      </c>
      <c r="AN66" s="37">
        <v>0.1738197179010248</v>
      </c>
      <c r="AO66" s="37">
        <v>0.1738197179010248</v>
      </c>
      <c r="AP66" s="37">
        <v>0.1738197179010248</v>
      </c>
      <c r="AQ66" s="37">
        <v>0.1738197179010248</v>
      </c>
      <c r="AR66" s="37">
        <v>0.1738197179010248</v>
      </c>
      <c r="AS66" s="37">
        <v>0.1738197179010248</v>
      </c>
      <c r="AT66" s="37">
        <v>0.1738197179010248</v>
      </c>
      <c r="AU66" s="37">
        <v>0.1738197179010248</v>
      </c>
      <c r="AV66" s="37">
        <v>0.1738197179010248</v>
      </c>
      <c r="AW66" s="37">
        <v>0.1738197179010248</v>
      </c>
      <c r="AX66" s="37">
        <v>0.1738197179010248</v>
      </c>
      <c r="AY66" s="37">
        <v>0.1738197179010248</v>
      </c>
      <c r="AZ66" s="37">
        <v>0.1738197179010248</v>
      </c>
      <c r="BA66" s="37">
        <v>0.1738197179010248</v>
      </c>
      <c r="BB66" s="37">
        <v>0.1738197179010248</v>
      </c>
    </row>
    <row r="67" spans="2:54" ht="17" customHeight="1" x14ac:dyDescent="0.45">
      <c r="B67" s="39" t="s">
        <v>155</v>
      </c>
      <c r="C67" s="29" t="s">
        <v>5</v>
      </c>
      <c r="D67" s="19" t="str">
        <f>IF('TECHNOLOGY REGISTER'!D17="","",'TECHNOLOGY REGISTER'!D17)</f>
        <v>Transmission</v>
      </c>
      <c r="E67" s="29" t="s">
        <v>53</v>
      </c>
      <c r="F67" s="41">
        <v>2</v>
      </c>
      <c r="G67" s="29" t="s">
        <v>29</v>
      </c>
      <c r="H67" s="32" t="s">
        <v>98</v>
      </c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spans="2:54" ht="17" customHeight="1" x14ac:dyDescent="0.45">
      <c r="B68" s="40" t="s">
        <v>155</v>
      </c>
      <c r="C68" s="30" t="s">
        <v>5</v>
      </c>
      <c r="D68" s="17" t="str">
        <f>IF('TECHNOLOGY REGISTER'!D18="","",'TECHNOLOGY REGISTER'!D18)</f>
        <v>Distribution</v>
      </c>
      <c r="E68" s="30" t="s">
        <v>53</v>
      </c>
      <c r="F68" s="42">
        <v>2</v>
      </c>
      <c r="G68" s="30" t="s">
        <v>29</v>
      </c>
      <c r="H68" s="24" t="s">
        <v>98</v>
      </c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</row>
    <row r="69" spans="2:54" ht="17" customHeight="1" x14ac:dyDescent="0.45">
      <c r="B69" s="39" t="s">
        <v>155</v>
      </c>
      <c r="C69" s="29"/>
      <c r="D69" s="19" t="str">
        <f>IF('TECHNOLOGY REGISTER'!D19="","",'TECHNOLOGY REGISTER'!D19)</f>
        <v>Imports</v>
      </c>
      <c r="E69" s="29"/>
      <c r="F69" s="41"/>
      <c r="G69" s="29"/>
      <c r="H69" s="32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spans="2:54" ht="17" customHeight="1" x14ac:dyDescent="0.45">
      <c r="B70" s="40" t="s">
        <v>155</v>
      </c>
      <c r="C70" s="30"/>
      <c r="D70" s="17" t="str">
        <f>IF('TECHNOLOGY REGISTER'!D20="","",'TECHNOLOGY REGISTER'!D20)</f>
        <v>Energy Exports</v>
      </c>
      <c r="E70" s="30"/>
      <c r="F70" s="42"/>
      <c r="G70" s="30"/>
      <c r="H70" s="24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</row>
    <row r="71" spans="2:54" ht="17" customHeight="1" x14ac:dyDescent="0.45">
      <c r="B71" s="39" t="s">
        <v>155</v>
      </c>
      <c r="C71" s="29"/>
      <c r="D71" s="19" t="str">
        <f>IF('TECHNOLOGY REGISTER'!D21="","",'TECHNOLOGY REGISTER'!D21)</f>
        <v>Direct Solar</v>
      </c>
      <c r="E71" s="29"/>
      <c r="F71" s="41"/>
      <c r="G71" s="29"/>
      <c r="H71" s="32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spans="2:54" ht="15" customHeight="1" x14ac:dyDescent="0.45">
      <c r="B72" s="40" t="s">
        <v>155</v>
      </c>
      <c r="C72" s="30"/>
      <c r="D72" s="17" t="str">
        <f>IF('TECHNOLOGY REGISTER'!D22="","",'TECHNOLOGY REGISTER'!D22)</f>
        <v>Direct Oil</v>
      </c>
      <c r="E72" s="30"/>
      <c r="F72" s="42"/>
      <c r="G72" s="30"/>
      <c r="H72" s="24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</row>
    <row r="73" spans="2:54" ht="15" customHeight="1" x14ac:dyDescent="0.45">
      <c r="B73" s="39" t="s">
        <v>155</v>
      </c>
      <c r="C73" s="29"/>
      <c r="D73" s="19" t="str">
        <f>IF('TECHNOLOGY REGISTER'!D23="","",'TECHNOLOGY REGISTER'!D23)</f>
        <v>Direct Hydro</v>
      </c>
      <c r="E73" s="29"/>
      <c r="F73" s="41"/>
      <c r="G73" s="29"/>
      <c r="H73" s="32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</row>
    <row r="74" spans="2:54" ht="15" customHeight="1" x14ac:dyDescent="0.45">
      <c r="B74" s="40" t="s">
        <v>155</v>
      </c>
      <c r="C74" s="30"/>
      <c r="D74" s="17" t="str">
        <f>IF('TECHNOLOGY REGISTER'!D24="","",'TECHNOLOGY REGISTER'!D24)</f>
        <v/>
      </c>
      <c r="E74" s="30"/>
      <c r="F74" s="42"/>
      <c r="G74" s="30"/>
      <c r="H74" s="24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</row>
    <row r="75" spans="2:54" ht="15" customHeight="1" x14ac:dyDescent="0.45">
      <c r="B75" s="39" t="s">
        <v>155</v>
      </c>
      <c r="C75" s="29"/>
      <c r="D75" s="19" t="str">
        <f>IF('TECHNOLOGY REGISTER'!D25="","",'TECHNOLOGY REGISTER'!D25)</f>
        <v/>
      </c>
      <c r="E75" s="29"/>
      <c r="F75" s="41"/>
      <c r="G75" s="29"/>
      <c r="H75" s="32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</row>
    <row r="76" spans="2:54" ht="15" customHeight="1" x14ac:dyDescent="0.45">
      <c r="B76" s="40" t="s">
        <v>155</v>
      </c>
      <c r="C76" s="30"/>
      <c r="D76" s="17" t="str">
        <f>IF('TECHNOLOGY REGISTER'!D26="","",'TECHNOLOGY REGISTER'!D26)</f>
        <v/>
      </c>
      <c r="E76" s="30"/>
      <c r="F76" s="42"/>
      <c r="G76" s="30"/>
      <c r="H76" s="24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</row>
    <row r="77" spans="2:54" ht="15" customHeight="1" x14ac:dyDescent="0.45">
      <c r="B77" s="39" t="s">
        <v>155</v>
      </c>
      <c r="C77" s="29"/>
      <c r="D77" s="19" t="str">
        <f>IF('TECHNOLOGY REGISTER'!D27="","",'TECHNOLOGY REGISTER'!D27)</f>
        <v/>
      </c>
      <c r="E77" s="29"/>
      <c r="F77" s="41"/>
      <c r="G77" s="29"/>
      <c r="H77" s="32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</row>
    <row r="78" spans="2:54" ht="15" customHeight="1" x14ac:dyDescent="0.45">
      <c r="B78" s="40" t="s">
        <v>155</v>
      </c>
      <c r="C78" s="30"/>
      <c r="D78" s="17" t="str">
        <f>IF('TECHNOLOGY REGISTER'!D28="","",'TECHNOLOGY REGISTER'!D28)</f>
        <v/>
      </c>
      <c r="E78" s="30"/>
      <c r="F78" s="42"/>
      <c r="G78" s="30"/>
      <c r="H78" s="24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</row>
    <row r="79" spans="2:54" ht="15" customHeight="1" x14ac:dyDescent="0.45">
      <c r="B79" s="39" t="s">
        <v>155</v>
      </c>
      <c r="C79" s="29"/>
      <c r="D79" s="19" t="str">
        <f>IF('TECHNOLOGY REGISTER'!D29="","",'TECHNOLOGY REGISTER'!D29)</f>
        <v/>
      </c>
      <c r="E79" s="29"/>
      <c r="F79" s="41"/>
      <c r="G79" s="29"/>
      <c r="H79" s="32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</row>
    <row r="80" spans="2:54" ht="15" customHeight="1" x14ac:dyDescent="0.45">
      <c r="B80" s="40" t="s">
        <v>155</v>
      </c>
      <c r="C80" s="30"/>
      <c r="D80" s="17" t="str">
        <f>IF('TECHNOLOGY REGISTER'!D30="","",'TECHNOLOGY REGISTER'!D30)</f>
        <v/>
      </c>
      <c r="E80" s="30"/>
      <c r="F80" s="42"/>
      <c r="G80" s="30"/>
      <c r="H80" s="24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</row>
    <row r="81" spans="2:54" ht="15" customHeight="1" x14ac:dyDescent="0.45">
      <c r="B81" s="39" t="s">
        <v>155</v>
      </c>
      <c r="C81" s="29"/>
      <c r="D81" s="19" t="str">
        <f>IF('TECHNOLOGY REGISTER'!D31="","",'TECHNOLOGY REGISTER'!D31)</f>
        <v/>
      </c>
      <c r="E81" s="29"/>
      <c r="F81" s="41"/>
      <c r="G81" s="29"/>
      <c r="H81" s="32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</row>
    <row r="82" spans="2:54" ht="15" customHeight="1" x14ac:dyDescent="0.45">
      <c r="B82" s="40" t="s">
        <v>155</v>
      </c>
      <c r="C82" s="30"/>
      <c r="D82" s="17" t="str">
        <f>IF('TECHNOLOGY REGISTER'!D32="","",'TECHNOLOGY REGISTER'!D32)</f>
        <v/>
      </c>
      <c r="E82" s="30"/>
      <c r="F82" s="42"/>
      <c r="G82" s="30"/>
      <c r="H82" s="24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</row>
    <row r="83" spans="2:54" ht="15" customHeight="1" x14ac:dyDescent="0.45">
      <c r="B83" s="39" t="s">
        <v>155</v>
      </c>
      <c r="C83" s="29"/>
      <c r="D83" s="19" t="str">
        <f>IF('TECHNOLOGY REGISTER'!D33="","",'TECHNOLOGY REGISTER'!D33)</f>
        <v/>
      </c>
      <c r="E83" s="29"/>
      <c r="F83" s="41"/>
      <c r="G83" s="29"/>
      <c r="H83" s="32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</row>
    <row r="84" spans="2:54" ht="15" customHeight="1" x14ac:dyDescent="0.45">
      <c r="B84" s="40" t="s">
        <v>155</v>
      </c>
      <c r="C84" s="30"/>
      <c r="D84" s="17" t="str">
        <f>IF('TECHNOLOGY REGISTER'!D34="","",'TECHNOLOGY REGISTER'!D34)</f>
        <v/>
      </c>
      <c r="E84" s="30"/>
      <c r="F84" s="42"/>
      <c r="G84" s="30"/>
      <c r="H84" s="24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</row>
    <row r="85" spans="2:54" ht="15" customHeight="1" x14ac:dyDescent="0.45">
      <c r="B85" s="39" t="s">
        <v>155</v>
      </c>
      <c r="C85" s="29"/>
      <c r="D85" s="19" t="str">
        <f>IF('TECHNOLOGY REGISTER'!D35="","",'TECHNOLOGY REGISTER'!D35)</f>
        <v/>
      </c>
      <c r="E85" s="29"/>
      <c r="F85" s="41"/>
      <c r="G85" s="29"/>
      <c r="H85" s="32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</row>
    <row r="86" spans="2:54" ht="15" customHeight="1" x14ac:dyDescent="0.45">
      <c r="B86" s="40" t="s">
        <v>155</v>
      </c>
      <c r="C86" s="30"/>
      <c r="D86" s="17" t="str">
        <f>IF('TECHNOLOGY REGISTER'!D36="","",'TECHNOLOGY REGISTER'!D36)</f>
        <v/>
      </c>
      <c r="E86" s="30"/>
      <c r="F86" s="42"/>
      <c r="G86" s="30"/>
      <c r="H86" s="24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</row>
    <row r="87" spans="2:54" ht="15" customHeight="1" x14ac:dyDescent="0.45">
      <c r="B87" s="39" t="s">
        <v>155</v>
      </c>
      <c r="C87" s="29"/>
      <c r="D87" s="19" t="str">
        <f>IF('TECHNOLOGY REGISTER'!D37="","",'TECHNOLOGY REGISTER'!D37)</f>
        <v/>
      </c>
      <c r="E87" s="29"/>
      <c r="F87" s="41"/>
      <c r="G87" s="29"/>
      <c r="H87" s="32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</row>
    <row r="88" spans="2:54" ht="15" customHeight="1" x14ac:dyDescent="0.45">
      <c r="B88" s="40" t="s">
        <v>155</v>
      </c>
      <c r="C88" s="30"/>
      <c r="D88" s="17" t="str">
        <f>IF('TECHNOLOGY REGISTER'!D38="","",'TECHNOLOGY REGISTER'!D38)</f>
        <v/>
      </c>
      <c r="E88" s="30"/>
      <c r="F88" s="42"/>
      <c r="G88" s="30"/>
      <c r="H88" s="24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</row>
    <row r="89" spans="2:54" ht="15" customHeight="1" x14ac:dyDescent="0.45">
      <c r="B89" s="39" t="s">
        <v>155</v>
      </c>
      <c r="C89" s="29"/>
      <c r="D89" s="19" t="str">
        <f>IF('TECHNOLOGY REGISTER'!D39="","",'TECHNOLOGY REGISTER'!D39)</f>
        <v/>
      </c>
      <c r="E89" s="29"/>
      <c r="F89" s="41"/>
      <c r="G89" s="29"/>
      <c r="H89" s="32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</row>
    <row r="90" spans="2:54" ht="15" customHeight="1" x14ac:dyDescent="0.45">
      <c r="B90" s="40" t="s">
        <v>155</v>
      </c>
      <c r="C90" s="30"/>
      <c r="D90" s="17" t="str">
        <f>IF('TECHNOLOGY REGISTER'!D40="","",'TECHNOLOGY REGISTER'!D40)</f>
        <v/>
      </c>
      <c r="E90" s="30"/>
      <c r="F90" s="42"/>
      <c r="G90" s="30"/>
      <c r="H90" s="24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</row>
    <row r="91" spans="2:54" ht="15" customHeight="1" x14ac:dyDescent="0.45">
      <c r="B91" s="39" t="s">
        <v>155</v>
      </c>
      <c r="C91" s="29"/>
      <c r="D91" s="19" t="str">
        <f>IF('TECHNOLOGY REGISTER'!D41="","",'TECHNOLOGY REGISTER'!D41)</f>
        <v/>
      </c>
      <c r="E91" s="29"/>
      <c r="F91" s="41"/>
      <c r="G91" s="29"/>
      <c r="H91" s="32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</row>
    <row r="92" spans="2:54" ht="15" customHeight="1" x14ac:dyDescent="0.45">
      <c r="B92" s="40" t="s">
        <v>155</v>
      </c>
      <c r="C92" s="30"/>
      <c r="D92" s="17" t="str">
        <f>IF('TECHNOLOGY REGISTER'!D42="","",'TECHNOLOGY REGISTER'!D42)</f>
        <v/>
      </c>
      <c r="E92" s="30"/>
      <c r="F92" s="42"/>
      <c r="G92" s="30"/>
      <c r="H92" s="24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</row>
    <row r="93" spans="2:54" ht="15" customHeight="1" x14ac:dyDescent="0.45">
      <c r="B93" s="39" t="s">
        <v>155</v>
      </c>
      <c r="C93" s="29"/>
      <c r="D93" s="19" t="str">
        <f>IF('TECHNOLOGY REGISTER'!D43="","",'TECHNOLOGY REGISTER'!D43)</f>
        <v/>
      </c>
      <c r="E93" s="29"/>
      <c r="F93" s="41"/>
      <c r="G93" s="29"/>
      <c r="H93" s="32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</row>
    <row r="94" spans="2:54" ht="15" customHeight="1" x14ac:dyDescent="0.45">
      <c r="B94" s="40" t="s">
        <v>155</v>
      </c>
      <c r="C94" s="30"/>
      <c r="D94" s="17" t="str">
        <f>IF('TECHNOLOGY REGISTER'!D44="","",'TECHNOLOGY REGISTER'!D44)</f>
        <v/>
      </c>
      <c r="E94" s="30"/>
      <c r="F94" s="42"/>
      <c r="G94" s="30"/>
      <c r="H94" s="24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</row>
    <row r="95" spans="2:54" ht="15" customHeight="1" x14ac:dyDescent="0.45">
      <c r="B95" s="39" t="s">
        <v>155</v>
      </c>
      <c r="C95" s="29"/>
      <c r="D95" s="19" t="str">
        <f>IF('TECHNOLOGY REGISTER'!D45="","",'TECHNOLOGY REGISTER'!D45)</f>
        <v/>
      </c>
      <c r="E95" s="29"/>
      <c r="F95" s="41"/>
      <c r="G95" s="29"/>
      <c r="H95" s="32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</row>
    <row r="96" spans="2:54" ht="15" customHeight="1" x14ac:dyDescent="0.45">
      <c r="B96" s="40" t="s">
        <v>155</v>
      </c>
      <c r="C96" s="30"/>
      <c r="D96" s="17" t="str">
        <f>IF('TECHNOLOGY REGISTER'!D46="","",'TECHNOLOGY REGISTER'!D46)</f>
        <v/>
      </c>
      <c r="E96" s="30"/>
      <c r="F96" s="42"/>
      <c r="G96" s="30"/>
      <c r="H96" s="24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</row>
    <row r="97" spans="2:54" ht="15" customHeight="1" x14ac:dyDescent="0.45">
      <c r="B97" s="39" t="s">
        <v>155</v>
      </c>
      <c r="C97" s="29"/>
      <c r="D97" s="19" t="str">
        <f>IF('TECHNOLOGY REGISTER'!D47="","",'TECHNOLOGY REGISTER'!D47)</f>
        <v/>
      </c>
      <c r="E97" s="29"/>
      <c r="F97" s="41"/>
      <c r="G97" s="29"/>
      <c r="H97" s="32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</row>
    <row r="98" spans="2:54" ht="15" customHeight="1" x14ac:dyDescent="0.45">
      <c r="B98" s="40" t="s">
        <v>155</v>
      </c>
      <c r="C98" s="30"/>
      <c r="D98" s="17" t="str">
        <f>IF('TECHNOLOGY REGISTER'!D48="","",'TECHNOLOGY REGISTER'!D48)</f>
        <v/>
      </c>
      <c r="E98" s="30"/>
      <c r="F98" s="42"/>
      <c r="G98" s="30"/>
      <c r="H98" s="24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</row>
    <row r="99" spans="2:54" ht="15" customHeight="1" x14ac:dyDescent="0.45">
      <c r="B99" s="39" t="s">
        <v>155</v>
      </c>
      <c r="C99" s="29"/>
      <c r="D99" s="19" t="str">
        <f>IF('TECHNOLOGY REGISTER'!D49="","",'TECHNOLOGY REGISTER'!D49)</f>
        <v/>
      </c>
      <c r="E99" s="29"/>
      <c r="F99" s="41"/>
      <c r="G99" s="29"/>
      <c r="H99" s="32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</row>
    <row r="100" spans="2:54" ht="15" customHeight="1" x14ac:dyDescent="0.45">
      <c r="B100" s="40" t="s">
        <v>155</v>
      </c>
      <c r="C100" s="30"/>
      <c r="D100" s="17" t="str">
        <f>IF('TECHNOLOGY REGISTER'!D50="","",'TECHNOLOGY REGISTER'!D50)</f>
        <v/>
      </c>
      <c r="E100" s="30"/>
      <c r="F100" s="42"/>
      <c r="G100" s="30"/>
      <c r="H100" s="24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</row>
    <row r="101" spans="2:54" ht="15" customHeight="1" x14ac:dyDescent="0.45">
      <c r="B101" s="39" t="s">
        <v>155</v>
      </c>
      <c r="C101" s="29"/>
      <c r="D101" s="19" t="str">
        <f>IF('TECHNOLOGY REGISTER'!D51="","",'TECHNOLOGY REGISTER'!D51)</f>
        <v/>
      </c>
      <c r="E101" s="29"/>
      <c r="F101" s="41"/>
      <c r="G101" s="29"/>
      <c r="H101" s="32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</row>
    <row r="102" spans="2:54" ht="15" customHeight="1" x14ac:dyDescent="0.45">
      <c r="B102" s="40" t="s">
        <v>155</v>
      </c>
      <c r="C102" s="30"/>
      <c r="D102" s="17" t="str">
        <f>IF('TECHNOLOGY REGISTER'!D52="","",'TECHNOLOGY REGISTER'!D52)</f>
        <v/>
      </c>
      <c r="E102" s="30"/>
      <c r="F102" s="42"/>
      <c r="G102" s="30"/>
      <c r="H102" s="24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</row>
    <row r="103" spans="2:54" ht="15" customHeight="1" x14ac:dyDescent="0.45">
      <c r="B103" s="39" t="s">
        <v>155</v>
      </c>
      <c r="C103" s="29"/>
      <c r="D103" s="19" t="str">
        <f>IF('TECHNOLOGY REGISTER'!D53="","",'TECHNOLOGY REGISTER'!D53)</f>
        <v/>
      </c>
      <c r="E103" s="29"/>
      <c r="F103" s="41"/>
      <c r="G103" s="29"/>
      <c r="H103" s="32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</row>
    <row r="104" spans="2:54" ht="15" customHeight="1" x14ac:dyDescent="0.45">
      <c r="B104" s="40" t="s">
        <v>155</v>
      </c>
      <c r="C104" s="30"/>
      <c r="D104" s="17" t="str">
        <f>IF('TECHNOLOGY REGISTER'!D54="","",'TECHNOLOGY REGISTER'!D54)</f>
        <v/>
      </c>
      <c r="E104" s="30"/>
      <c r="F104" s="42"/>
      <c r="G104" s="30"/>
      <c r="H104" s="24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</row>
    <row r="105" spans="2:54" ht="15" customHeight="1" x14ac:dyDescent="0.45">
      <c r="B105" s="39" t="s">
        <v>155</v>
      </c>
      <c r="C105" s="29"/>
      <c r="D105" s="19" t="str">
        <f>IF('TECHNOLOGY REGISTER'!D55="","",'TECHNOLOGY REGISTER'!D55)</f>
        <v/>
      </c>
      <c r="E105" s="29"/>
      <c r="F105" s="41"/>
      <c r="G105" s="29"/>
      <c r="H105" s="32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</row>
    <row r="106" spans="2:54" ht="15" customHeight="1" thickBot="1" x14ac:dyDescent="0.5">
      <c r="B106" s="40" t="s">
        <v>155</v>
      </c>
      <c r="C106" s="30"/>
      <c r="D106" s="17" t="str">
        <f>IF('TECHNOLOGY REGISTER'!D56="","",'TECHNOLOGY REGISTER'!D56)</f>
        <v/>
      </c>
      <c r="E106" s="30"/>
      <c r="F106" s="42"/>
      <c r="G106" s="30"/>
      <c r="H106" s="24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</row>
    <row r="107" spans="2:54" customFormat="1" ht="20" customHeight="1" x14ac:dyDescent="0.5">
      <c r="B107" s="69" t="s">
        <v>158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</row>
    <row r="108" spans="2:54" ht="17" customHeight="1" x14ac:dyDescent="0.45">
      <c r="B108" s="39" t="s">
        <v>155</v>
      </c>
      <c r="C108" s="29" t="s">
        <v>5</v>
      </c>
      <c r="D108" s="19" t="str">
        <f>IF('TECHNOLOGY REGISTER'!D7="","",'TECHNOLOGY REGISTER'!D7)</f>
        <v>Biomass</v>
      </c>
      <c r="E108" s="29" t="s">
        <v>53</v>
      </c>
      <c r="F108" s="41">
        <v>3</v>
      </c>
      <c r="G108" s="29" t="s">
        <v>29</v>
      </c>
      <c r="H108" s="32" t="s">
        <v>98</v>
      </c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spans="2:54" ht="17" customHeight="1" x14ac:dyDescent="0.45">
      <c r="B109" s="40" t="s">
        <v>155</v>
      </c>
      <c r="C109" s="30" t="s">
        <v>5</v>
      </c>
      <c r="D109" s="17" t="str">
        <f>IF('TECHNOLOGY REGISTER'!D8="","",'TECHNOLOGY REGISTER'!D8)</f>
        <v>Geothermal</v>
      </c>
      <c r="E109" s="30" t="s">
        <v>53</v>
      </c>
      <c r="F109" s="42">
        <v>3</v>
      </c>
      <c r="G109" s="30" t="s">
        <v>29</v>
      </c>
      <c r="H109" s="24" t="s">
        <v>98</v>
      </c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</row>
    <row r="110" spans="2:54" ht="17" customHeight="1" x14ac:dyDescent="0.45">
      <c r="B110" s="39" t="s">
        <v>155</v>
      </c>
      <c r="C110" s="29" t="s">
        <v>5</v>
      </c>
      <c r="D110" s="19" t="str">
        <f>IF('TECHNOLOGY REGISTER'!D9="","",'TECHNOLOGY REGISTER'!D9)</f>
        <v>Solar PV</v>
      </c>
      <c r="E110" s="29" t="s">
        <v>53</v>
      </c>
      <c r="F110" s="41">
        <v>3</v>
      </c>
      <c r="G110" s="29" t="s">
        <v>29</v>
      </c>
      <c r="H110" s="32" t="s">
        <v>98</v>
      </c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spans="2:54" ht="17" customHeight="1" x14ac:dyDescent="0.45">
      <c r="B111" s="40" t="s">
        <v>155</v>
      </c>
      <c r="C111" s="30" t="s">
        <v>5</v>
      </c>
      <c r="D111" s="17" t="str">
        <f>IF('TECHNOLOGY REGISTER'!D10="","",'TECHNOLOGY REGISTER'!D10)</f>
        <v>CSP</v>
      </c>
      <c r="E111" s="30" t="s">
        <v>53</v>
      </c>
      <c r="F111" s="42">
        <v>3</v>
      </c>
      <c r="G111" s="30" t="s">
        <v>29</v>
      </c>
      <c r="H111" s="24" t="s">
        <v>98</v>
      </c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</row>
    <row r="112" spans="2:54" ht="17" customHeight="1" x14ac:dyDescent="0.45">
      <c r="B112" s="39" t="s">
        <v>155</v>
      </c>
      <c r="C112" s="29" t="s">
        <v>5</v>
      </c>
      <c r="D112" s="19" t="str">
        <f>IF('TECHNOLOGY REGISTER'!D11="","",'TECHNOLOGY REGISTER'!D11)</f>
        <v>Hydropower</v>
      </c>
      <c r="E112" s="29" t="s">
        <v>53</v>
      </c>
      <c r="F112" s="41">
        <v>3</v>
      </c>
      <c r="G112" s="29" t="s">
        <v>29</v>
      </c>
      <c r="H112" s="32" t="s">
        <v>98</v>
      </c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spans="2:54" ht="17" customHeight="1" x14ac:dyDescent="0.45">
      <c r="B113" s="40" t="s">
        <v>155</v>
      </c>
      <c r="C113" s="30" t="s">
        <v>5</v>
      </c>
      <c r="D113" s="17" t="str">
        <f>IF('TECHNOLOGY REGISTER'!D12="","",'TECHNOLOGY REGISTER'!D12)</f>
        <v>Nuclear</v>
      </c>
      <c r="E113" s="30" t="s">
        <v>53</v>
      </c>
      <c r="F113" s="42">
        <v>3</v>
      </c>
      <c r="G113" s="30" t="s">
        <v>29</v>
      </c>
      <c r="H113" s="24" t="s">
        <v>98</v>
      </c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</row>
    <row r="114" spans="2:54" ht="17" customHeight="1" x14ac:dyDescent="0.45">
      <c r="B114" s="39" t="s">
        <v>155</v>
      </c>
      <c r="C114" s="29" t="s">
        <v>5</v>
      </c>
      <c r="D114" s="19" t="str">
        <f>IF('TECHNOLOGY REGISTER'!D13="","",'TECHNOLOGY REGISTER'!D13)</f>
        <v>Wind</v>
      </c>
      <c r="E114" s="29" t="s">
        <v>53</v>
      </c>
      <c r="F114" s="41">
        <v>3</v>
      </c>
      <c r="G114" s="29" t="s">
        <v>29</v>
      </c>
      <c r="H114" s="32" t="s">
        <v>98</v>
      </c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spans="2:54" ht="17" customHeight="1" x14ac:dyDescent="0.45">
      <c r="B115" s="40" t="s">
        <v>155</v>
      </c>
      <c r="C115" s="30" t="s">
        <v>5</v>
      </c>
      <c r="D115" s="17" t="str">
        <f>IF('TECHNOLOGY REGISTER'!D14="","",'TECHNOLOGY REGISTER'!D14)</f>
        <v>Coal</v>
      </c>
      <c r="E115" s="30" t="s">
        <v>53</v>
      </c>
      <c r="F115" s="42">
        <v>3</v>
      </c>
      <c r="G115" s="30" t="s">
        <v>29</v>
      </c>
      <c r="H115" s="24" t="s">
        <v>98</v>
      </c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</row>
    <row r="116" spans="2:54" ht="17" customHeight="1" x14ac:dyDescent="0.45">
      <c r="B116" s="39" t="s">
        <v>155</v>
      </c>
      <c r="C116" s="29" t="s">
        <v>5</v>
      </c>
      <c r="D116" s="19" t="str">
        <f>IF('TECHNOLOGY REGISTER'!D15="","",'TECHNOLOGY REGISTER'!D15)</f>
        <v>Oil</v>
      </c>
      <c r="E116" s="29" t="s">
        <v>53</v>
      </c>
      <c r="F116" s="41">
        <v>3</v>
      </c>
      <c r="G116" s="29" t="s">
        <v>13</v>
      </c>
      <c r="H116" s="32" t="s">
        <v>98</v>
      </c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spans="2:54" ht="17" customHeight="1" x14ac:dyDescent="0.45">
      <c r="B117" s="40" t="s">
        <v>155</v>
      </c>
      <c r="C117" s="30" t="s">
        <v>5</v>
      </c>
      <c r="D117" s="17" t="str">
        <f>IF('TECHNOLOGY REGISTER'!D16="","",'TECHNOLOGY REGISTER'!D16)</f>
        <v>Gas</v>
      </c>
      <c r="E117" s="30" t="s">
        <v>53</v>
      </c>
      <c r="F117" s="42" t="s">
        <v>71</v>
      </c>
      <c r="G117" s="30" t="s">
        <v>156</v>
      </c>
      <c r="H117" s="24" t="s">
        <v>98</v>
      </c>
      <c r="I117" s="37">
        <v>0.5186461846361855</v>
      </c>
      <c r="J117" s="37">
        <v>0.5186461846361855</v>
      </c>
      <c r="K117" s="37">
        <v>0.5186461846361855</v>
      </c>
      <c r="L117" s="37">
        <v>0.5186461846361855</v>
      </c>
      <c r="M117" s="37">
        <v>0.5186461846361855</v>
      </c>
      <c r="N117" s="37">
        <v>0.5186461846361855</v>
      </c>
      <c r="O117" s="37">
        <v>0.5186461846361855</v>
      </c>
      <c r="P117" s="37">
        <v>0.5186461846361855</v>
      </c>
      <c r="Q117" s="37">
        <v>0.5186461846361855</v>
      </c>
      <c r="R117" s="37">
        <v>0.5186461846361855</v>
      </c>
      <c r="S117" s="37">
        <v>0.5186461846361855</v>
      </c>
      <c r="T117" s="37">
        <v>0.5186461846361855</v>
      </c>
      <c r="U117" s="37">
        <v>0.5186461846361855</v>
      </c>
      <c r="V117" s="37">
        <v>0.5186461846361855</v>
      </c>
      <c r="W117" s="37">
        <v>0.5186461846361855</v>
      </c>
      <c r="X117" s="37">
        <v>0.5186461846361855</v>
      </c>
      <c r="Y117" s="37">
        <v>0.5186461846361855</v>
      </c>
      <c r="Z117" s="37">
        <v>0.5186461846361855</v>
      </c>
      <c r="AA117" s="37">
        <v>0.5186461846361855</v>
      </c>
      <c r="AB117" s="37">
        <v>0.5186461846361855</v>
      </c>
      <c r="AC117" s="37">
        <v>0.5186461846361855</v>
      </c>
      <c r="AD117" s="37">
        <v>0.5186461846361855</v>
      </c>
      <c r="AE117" s="37">
        <v>0.5186461846361855</v>
      </c>
      <c r="AF117" s="37">
        <v>0.5186461846361855</v>
      </c>
      <c r="AG117" s="37">
        <v>0.5186461846361855</v>
      </c>
      <c r="AH117" s="37">
        <v>0.5186461846361855</v>
      </c>
      <c r="AI117" s="37">
        <v>0.5186461846361855</v>
      </c>
      <c r="AJ117" s="37">
        <v>0.5186461846361855</v>
      </c>
      <c r="AK117" s="37">
        <v>0.5186461846361855</v>
      </c>
      <c r="AL117" s="37">
        <v>0.5186461846361855</v>
      </c>
      <c r="AM117" s="37">
        <v>0.5186461846361855</v>
      </c>
      <c r="AN117" s="37">
        <v>0.5186461846361855</v>
      </c>
      <c r="AO117" s="37">
        <v>0.5186461846361855</v>
      </c>
      <c r="AP117" s="37">
        <v>0.5186461846361855</v>
      </c>
      <c r="AQ117" s="37">
        <v>0.5186461846361855</v>
      </c>
      <c r="AR117" s="37">
        <v>0.5186461846361855</v>
      </c>
      <c r="AS117" s="37">
        <v>0.5186461846361855</v>
      </c>
      <c r="AT117" s="37">
        <v>0.5186461846361855</v>
      </c>
      <c r="AU117" s="37">
        <v>0.5186461846361855</v>
      </c>
      <c r="AV117" s="37">
        <v>0.5186461846361855</v>
      </c>
      <c r="AW117" s="37">
        <v>0.5186461846361855</v>
      </c>
      <c r="AX117" s="37">
        <v>0.5186461846361855</v>
      </c>
      <c r="AY117" s="37">
        <v>0.5186461846361855</v>
      </c>
      <c r="AZ117" s="37">
        <v>0.5186461846361855</v>
      </c>
      <c r="BA117" s="37">
        <v>0.5186461846361855</v>
      </c>
      <c r="BB117" s="37">
        <v>0.5186461846361855</v>
      </c>
    </row>
    <row r="118" spans="2:54" ht="17" customHeight="1" x14ac:dyDescent="0.45">
      <c r="B118" s="39" t="s">
        <v>155</v>
      </c>
      <c r="C118" s="29" t="s">
        <v>5</v>
      </c>
      <c r="D118" s="19" t="str">
        <f>IF('TECHNOLOGY REGISTER'!D17="","",'TECHNOLOGY REGISTER'!D17)</f>
        <v>Transmission</v>
      </c>
      <c r="E118" s="29" t="s">
        <v>53</v>
      </c>
      <c r="F118" s="41">
        <v>3</v>
      </c>
      <c r="G118" s="29" t="s">
        <v>29</v>
      </c>
      <c r="H118" s="32" t="s">
        <v>98</v>
      </c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spans="2:54" ht="17" customHeight="1" x14ac:dyDescent="0.45">
      <c r="B119" s="40" t="s">
        <v>155</v>
      </c>
      <c r="C119" s="30" t="s">
        <v>5</v>
      </c>
      <c r="D119" s="17" t="str">
        <f>IF('TECHNOLOGY REGISTER'!D18="","",'TECHNOLOGY REGISTER'!D18)</f>
        <v>Distribution</v>
      </c>
      <c r="E119" s="30" t="s">
        <v>53</v>
      </c>
      <c r="F119" s="42">
        <v>3</v>
      </c>
      <c r="G119" s="30" t="s">
        <v>29</v>
      </c>
      <c r="H119" s="24" t="s">
        <v>98</v>
      </c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</row>
    <row r="120" spans="2:54" ht="17" customHeight="1" x14ac:dyDescent="0.45">
      <c r="B120" s="39" t="s">
        <v>155</v>
      </c>
      <c r="C120" s="29"/>
      <c r="D120" s="19" t="str">
        <f>IF('TECHNOLOGY REGISTER'!D19="","",'TECHNOLOGY REGISTER'!D19)</f>
        <v>Imports</v>
      </c>
      <c r="E120" s="29"/>
      <c r="F120" s="41"/>
      <c r="G120" s="29"/>
      <c r="H120" s="32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spans="2:54" ht="17" customHeight="1" x14ac:dyDescent="0.45">
      <c r="B121" s="40" t="s">
        <v>155</v>
      </c>
      <c r="C121" s="30"/>
      <c r="D121" s="17" t="str">
        <f>IF('TECHNOLOGY REGISTER'!D20="","",'TECHNOLOGY REGISTER'!D20)</f>
        <v>Energy Exports</v>
      </c>
      <c r="E121" s="30"/>
      <c r="F121" s="42"/>
      <c r="G121" s="30"/>
      <c r="H121" s="24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</row>
    <row r="122" spans="2:54" ht="17" customHeight="1" x14ac:dyDescent="0.45">
      <c r="B122" s="39" t="s">
        <v>155</v>
      </c>
      <c r="C122" s="29"/>
      <c r="D122" s="19" t="str">
        <f>IF('TECHNOLOGY REGISTER'!D21="","",'TECHNOLOGY REGISTER'!D21)</f>
        <v>Direct Solar</v>
      </c>
      <c r="E122" s="29"/>
      <c r="F122" s="41"/>
      <c r="G122" s="29"/>
      <c r="H122" s="32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spans="2:54" ht="15" customHeight="1" x14ac:dyDescent="0.45">
      <c r="B123" s="40" t="s">
        <v>155</v>
      </c>
      <c r="C123" s="30"/>
      <c r="D123" s="17" t="str">
        <f>IF('TECHNOLOGY REGISTER'!D22="","",'TECHNOLOGY REGISTER'!D22)</f>
        <v>Direct Oil</v>
      </c>
      <c r="E123" s="30"/>
      <c r="F123" s="42"/>
      <c r="G123" s="30"/>
      <c r="H123" s="24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</row>
    <row r="124" spans="2:54" ht="15" customHeight="1" x14ac:dyDescent="0.45">
      <c r="B124" s="39" t="s">
        <v>155</v>
      </c>
      <c r="C124" s="29"/>
      <c r="D124" s="19" t="str">
        <f>IF('TECHNOLOGY REGISTER'!D23="","",'TECHNOLOGY REGISTER'!D23)</f>
        <v>Direct Hydro</v>
      </c>
      <c r="E124" s="29"/>
      <c r="F124" s="41"/>
      <c r="G124" s="29"/>
      <c r="H124" s="32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</row>
    <row r="125" spans="2:54" ht="15" customHeight="1" x14ac:dyDescent="0.45">
      <c r="B125" s="40" t="s">
        <v>155</v>
      </c>
      <c r="C125" s="30"/>
      <c r="D125" s="17" t="str">
        <f>IF('TECHNOLOGY REGISTER'!D24="","",'TECHNOLOGY REGISTER'!D24)</f>
        <v/>
      </c>
      <c r="E125" s="30"/>
      <c r="F125" s="42"/>
      <c r="G125" s="30"/>
      <c r="H125" s="24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</row>
    <row r="126" spans="2:54" ht="15" customHeight="1" x14ac:dyDescent="0.45">
      <c r="B126" s="39" t="s">
        <v>155</v>
      </c>
      <c r="C126" s="29"/>
      <c r="D126" s="19" t="str">
        <f>IF('TECHNOLOGY REGISTER'!D25="","",'TECHNOLOGY REGISTER'!D25)</f>
        <v/>
      </c>
      <c r="E126" s="29"/>
      <c r="F126" s="41"/>
      <c r="G126" s="29"/>
      <c r="H126" s="32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</row>
    <row r="127" spans="2:54" ht="15" customHeight="1" x14ac:dyDescent="0.45">
      <c r="B127" s="40" t="s">
        <v>155</v>
      </c>
      <c r="C127" s="30"/>
      <c r="D127" s="17" t="str">
        <f>IF('TECHNOLOGY REGISTER'!D26="","",'TECHNOLOGY REGISTER'!D26)</f>
        <v/>
      </c>
      <c r="E127" s="30"/>
      <c r="F127" s="42"/>
      <c r="G127" s="30"/>
      <c r="H127" s="24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</row>
    <row r="128" spans="2:54" ht="15" customHeight="1" x14ac:dyDescent="0.45">
      <c r="B128" s="39" t="s">
        <v>155</v>
      </c>
      <c r="C128" s="29"/>
      <c r="D128" s="19" t="str">
        <f>IF('TECHNOLOGY REGISTER'!D27="","",'TECHNOLOGY REGISTER'!D27)</f>
        <v/>
      </c>
      <c r="E128" s="29"/>
      <c r="F128" s="41"/>
      <c r="G128" s="29"/>
      <c r="H128" s="32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</row>
    <row r="129" spans="2:54" ht="15" customHeight="1" x14ac:dyDescent="0.45">
      <c r="B129" s="40" t="s">
        <v>155</v>
      </c>
      <c r="C129" s="30"/>
      <c r="D129" s="17" t="str">
        <f>IF('TECHNOLOGY REGISTER'!D28="","",'TECHNOLOGY REGISTER'!D28)</f>
        <v/>
      </c>
      <c r="E129" s="30"/>
      <c r="F129" s="42"/>
      <c r="G129" s="30"/>
      <c r="H129" s="24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</row>
    <row r="130" spans="2:54" ht="15" customHeight="1" x14ac:dyDescent="0.45">
      <c r="B130" s="39" t="s">
        <v>155</v>
      </c>
      <c r="C130" s="29"/>
      <c r="D130" s="19" t="str">
        <f>IF('TECHNOLOGY REGISTER'!D29="","",'TECHNOLOGY REGISTER'!D29)</f>
        <v/>
      </c>
      <c r="E130" s="29"/>
      <c r="F130" s="41"/>
      <c r="G130" s="29"/>
      <c r="H130" s="32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</row>
    <row r="131" spans="2:54" ht="15" customHeight="1" x14ac:dyDescent="0.45">
      <c r="B131" s="40" t="s">
        <v>155</v>
      </c>
      <c r="C131" s="30"/>
      <c r="D131" s="17" t="str">
        <f>IF('TECHNOLOGY REGISTER'!D30="","",'TECHNOLOGY REGISTER'!D30)</f>
        <v/>
      </c>
      <c r="E131" s="30"/>
      <c r="F131" s="42"/>
      <c r="G131" s="30"/>
      <c r="H131" s="24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</row>
    <row r="132" spans="2:54" ht="15" customHeight="1" x14ac:dyDescent="0.45">
      <c r="B132" s="39" t="s">
        <v>155</v>
      </c>
      <c r="C132" s="29"/>
      <c r="D132" s="19" t="str">
        <f>IF('TECHNOLOGY REGISTER'!D31="","",'TECHNOLOGY REGISTER'!D31)</f>
        <v/>
      </c>
      <c r="E132" s="29"/>
      <c r="F132" s="41"/>
      <c r="G132" s="29"/>
      <c r="H132" s="32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</row>
    <row r="133" spans="2:54" ht="15" customHeight="1" x14ac:dyDescent="0.45">
      <c r="B133" s="40" t="s">
        <v>155</v>
      </c>
      <c r="C133" s="30"/>
      <c r="D133" s="17" t="str">
        <f>IF('TECHNOLOGY REGISTER'!D32="","",'TECHNOLOGY REGISTER'!D32)</f>
        <v/>
      </c>
      <c r="E133" s="30"/>
      <c r="F133" s="42"/>
      <c r="G133" s="30"/>
      <c r="H133" s="24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</row>
    <row r="134" spans="2:54" ht="15" customHeight="1" x14ac:dyDescent="0.45">
      <c r="B134" s="39" t="s">
        <v>155</v>
      </c>
      <c r="C134" s="29"/>
      <c r="D134" s="19" t="str">
        <f>IF('TECHNOLOGY REGISTER'!D33="","",'TECHNOLOGY REGISTER'!D33)</f>
        <v/>
      </c>
      <c r="E134" s="29"/>
      <c r="F134" s="41"/>
      <c r="G134" s="29"/>
      <c r="H134" s="32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</row>
    <row r="135" spans="2:54" ht="15" customHeight="1" x14ac:dyDescent="0.45">
      <c r="B135" s="40" t="s">
        <v>155</v>
      </c>
      <c r="C135" s="30"/>
      <c r="D135" s="17" t="str">
        <f>IF('TECHNOLOGY REGISTER'!D34="","",'TECHNOLOGY REGISTER'!D34)</f>
        <v/>
      </c>
      <c r="E135" s="30"/>
      <c r="F135" s="42"/>
      <c r="G135" s="30"/>
      <c r="H135" s="24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</row>
    <row r="136" spans="2:54" ht="15" customHeight="1" x14ac:dyDescent="0.45">
      <c r="B136" s="39" t="s">
        <v>155</v>
      </c>
      <c r="C136" s="29"/>
      <c r="D136" s="19" t="str">
        <f>IF('TECHNOLOGY REGISTER'!D35="","",'TECHNOLOGY REGISTER'!D35)</f>
        <v/>
      </c>
      <c r="E136" s="29"/>
      <c r="F136" s="41"/>
      <c r="G136" s="29"/>
      <c r="H136" s="32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</row>
    <row r="137" spans="2:54" ht="15" customHeight="1" x14ac:dyDescent="0.45">
      <c r="B137" s="40" t="s">
        <v>155</v>
      </c>
      <c r="C137" s="30"/>
      <c r="D137" s="17" t="str">
        <f>IF('TECHNOLOGY REGISTER'!D36="","",'TECHNOLOGY REGISTER'!D36)</f>
        <v/>
      </c>
      <c r="E137" s="30"/>
      <c r="F137" s="42"/>
      <c r="G137" s="30"/>
      <c r="H137" s="24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</row>
    <row r="138" spans="2:54" ht="15" customHeight="1" x14ac:dyDescent="0.45">
      <c r="B138" s="39" t="s">
        <v>155</v>
      </c>
      <c r="C138" s="29"/>
      <c r="D138" s="19" t="str">
        <f>IF('TECHNOLOGY REGISTER'!D37="","",'TECHNOLOGY REGISTER'!D37)</f>
        <v/>
      </c>
      <c r="E138" s="29"/>
      <c r="F138" s="41"/>
      <c r="G138" s="29"/>
      <c r="H138" s="32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</row>
    <row r="139" spans="2:54" ht="15" customHeight="1" x14ac:dyDescent="0.45">
      <c r="B139" s="40" t="s">
        <v>155</v>
      </c>
      <c r="C139" s="30"/>
      <c r="D139" s="17" t="str">
        <f>IF('TECHNOLOGY REGISTER'!D38="","",'TECHNOLOGY REGISTER'!D38)</f>
        <v/>
      </c>
      <c r="E139" s="30"/>
      <c r="F139" s="42"/>
      <c r="G139" s="30"/>
      <c r="H139" s="24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</row>
    <row r="140" spans="2:54" ht="15" customHeight="1" x14ac:dyDescent="0.45">
      <c r="B140" s="39" t="s">
        <v>155</v>
      </c>
      <c r="C140" s="29"/>
      <c r="D140" s="19" t="str">
        <f>IF('TECHNOLOGY REGISTER'!D39="","",'TECHNOLOGY REGISTER'!D39)</f>
        <v/>
      </c>
      <c r="E140" s="29"/>
      <c r="F140" s="41"/>
      <c r="G140" s="29"/>
      <c r="H140" s="32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</row>
    <row r="141" spans="2:54" ht="15" customHeight="1" x14ac:dyDescent="0.45">
      <c r="B141" s="40" t="s">
        <v>155</v>
      </c>
      <c r="C141" s="30"/>
      <c r="D141" s="17" t="str">
        <f>IF('TECHNOLOGY REGISTER'!D40="","",'TECHNOLOGY REGISTER'!D40)</f>
        <v/>
      </c>
      <c r="E141" s="30"/>
      <c r="F141" s="42"/>
      <c r="G141" s="30"/>
      <c r="H141" s="24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</row>
    <row r="142" spans="2:54" ht="15" customHeight="1" x14ac:dyDescent="0.45">
      <c r="B142" s="39" t="s">
        <v>155</v>
      </c>
      <c r="C142" s="29"/>
      <c r="D142" s="19" t="str">
        <f>IF('TECHNOLOGY REGISTER'!D41="","",'TECHNOLOGY REGISTER'!D41)</f>
        <v/>
      </c>
      <c r="E142" s="29"/>
      <c r="F142" s="41"/>
      <c r="G142" s="29"/>
      <c r="H142" s="32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</row>
    <row r="143" spans="2:54" ht="15" customHeight="1" x14ac:dyDescent="0.45">
      <c r="B143" s="40" t="s">
        <v>155</v>
      </c>
      <c r="C143" s="30"/>
      <c r="D143" s="17" t="str">
        <f>IF('TECHNOLOGY REGISTER'!D42="","",'TECHNOLOGY REGISTER'!D42)</f>
        <v/>
      </c>
      <c r="E143" s="30"/>
      <c r="F143" s="42"/>
      <c r="G143" s="30"/>
      <c r="H143" s="24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</row>
    <row r="144" spans="2:54" ht="15" customHeight="1" x14ac:dyDescent="0.45">
      <c r="B144" s="39" t="s">
        <v>155</v>
      </c>
      <c r="C144" s="29"/>
      <c r="D144" s="19" t="str">
        <f>IF('TECHNOLOGY REGISTER'!D43="","",'TECHNOLOGY REGISTER'!D43)</f>
        <v/>
      </c>
      <c r="E144" s="29"/>
      <c r="F144" s="41"/>
      <c r="G144" s="29"/>
      <c r="H144" s="32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</row>
    <row r="145" spans="2:54" ht="15" customHeight="1" x14ac:dyDescent="0.45">
      <c r="B145" s="40" t="s">
        <v>155</v>
      </c>
      <c r="C145" s="30"/>
      <c r="D145" s="17" t="str">
        <f>IF('TECHNOLOGY REGISTER'!D44="","",'TECHNOLOGY REGISTER'!D44)</f>
        <v/>
      </c>
      <c r="E145" s="30"/>
      <c r="F145" s="42"/>
      <c r="G145" s="30"/>
      <c r="H145" s="24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</row>
    <row r="146" spans="2:54" ht="15" customHeight="1" x14ac:dyDescent="0.45">
      <c r="B146" s="39" t="s">
        <v>155</v>
      </c>
      <c r="C146" s="29"/>
      <c r="D146" s="19" t="str">
        <f>IF('TECHNOLOGY REGISTER'!D45="","",'TECHNOLOGY REGISTER'!D45)</f>
        <v/>
      </c>
      <c r="E146" s="29"/>
      <c r="F146" s="41"/>
      <c r="G146" s="29"/>
      <c r="H146" s="32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</row>
    <row r="147" spans="2:54" ht="15" customHeight="1" x14ac:dyDescent="0.45">
      <c r="B147" s="40" t="s">
        <v>155</v>
      </c>
      <c r="C147" s="30"/>
      <c r="D147" s="17" t="str">
        <f>IF('TECHNOLOGY REGISTER'!D46="","",'TECHNOLOGY REGISTER'!D46)</f>
        <v/>
      </c>
      <c r="E147" s="30"/>
      <c r="F147" s="42"/>
      <c r="G147" s="30"/>
      <c r="H147" s="24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</row>
    <row r="148" spans="2:54" ht="15" customHeight="1" x14ac:dyDescent="0.45">
      <c r="B148" s="39" t="s">
        <v>155</v>
      </c>
      <c r="C148" s="29"/>
      <c r="D148" s="19" t="str">
        <f>IF('TECHNOLOGY REGISTER'!D47="","",'TECHNOLOGY REGISTER'!D47)</f>
        <v/>
      </c>
      <c r="E148" s="29"/>
      <c r="F148" s="41"/>
      <c r="G148" s="29"/>
      <c r="H148" s="32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</row>
    <row r="149" spans="2:54" ht="15" customHeight="1" x14ac:dyDescent="0.45">
      <c r="B149" s="40" t="s">
        <v>155</v>
      </c>
      <c r="C149" s="30"/>
      <c r="D149" s="17" t="str">
        <f>IF('TECHNOLOGY REGISTER'!D48="","",'TECHNOLOGY REGISTER'!D48)</f>
        <v/>
      </c>
      <c r="E149" s="30"/>
      <c r="F149" s="42"/>
      <c r="G149" s="30"/>
      <c r="H149" s="24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</row>
    <row r="150" spans="2:54" ht="15" customHeight="1" x14ac:dyDescent="0.45">
      <c r="B150" s="39" t="s">
        <v>155</v>
      </c>
      <c r="C150" s="29"/>
      <c r="D150" s="19" t="str">
        <f>IF('TECHNOLOGY REGISTER'!D49="","",'TECHNOLOGY REGISTER'!D49)</f>
        <v/>
      </c>
      <c r="E150" s="29"/>
      <c r="F150" s="41"/>
      <c r="G150" s="29"/>
      <c r="H150" s="32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</row>
    <row r="151" spans="2:54" ht="15" customHeight="1" x14ac:dyDescent="0.45">
      <c r="B151" s="40" t="s">
        <v>155</v>
      </c>
      <c r="C151" s="30"/>
      <c r="D151" s="17" t="str">
        <f>IF('TECHNOLOGY REGISTER'!D50="","",'TECHNOLOGY REGISTER'!D50)</f>
        <v/>
      </c>
      <c r="E151" s="30"/>
      <c r="F151" s="42"/>
      <c r="G151" s="30"/>
      <c r="H151" s="24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</row>
    <row r="152" spans="2:54" ht="15" customHeight="1" x14ac:dyDescent="0.45">
      <c r="B152" s="39" t="s">
        <v>155</v>
      </c>
      <c r="C152" s="29"/>
      <c r="D152" s="19" t="str">
        <f>IF('TECHNOLOGY REGISTER'!D51="","",'TECHNOLOGY REGISTER'!D51)</f>
        <v/>
      </c>
      <c r="E152" s="29"/>
      <c r="F152" s="41"/>
      <c r="G152" s="29"/>
      <c r="H152" s="32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</row>
    <row r="153" spans="2:54" ht="15" customHeight="1" x14ac:dyDescent="0.45">
      <c r="B153" s="40" t="s">
        <v>155</v>
      </c>
      <c r="C153" s="30"/>
      <c r="D153" s="17" t="str">
        <f>IF('TECHNOLOGY REGISTER'!D52="","",'TECHNOLOGY REGISTER'!D52)</f>
        <v/>
      </c>
      <c r="E153" s="30"/>
      <c r="F153" s="42"/>
      <c r="G153" s="30"/>
      <c r="H153" s="24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</row>
    <row r="154" spans="2:54" ht="15" customHeight="1" x14ac:dyDescent="0.45">
      <c r="B154" s="39" t="s">
        <v>155</v>
      </c>
      <c r="C154" s="29"/>
      <c r="D154" s="19" t="str">
        <f>IF('TECHNOLOGY REGISTER'!D53="","",'TECHNOLOGY REGISTER'!D53)</f>
        <v/>
      </c>
      <c r="E154" s="29"/>
      <c r="F154" s="41"/>
      <c r="G154" s="29"/>
      <c r="H154" s="32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</row>
    <row r="155" spans="2:54" ht="15" customHeight="1" x14ac:dyDescent="0.45">
      <c r="B155" s="40" t="s">
        <v>155</v>
      </c>
      <c r="C155" s="30"/>
      <c r="D155" s="17" t="str">
        <f>IF('TECHNOLOGY REGISTER'!D54="","",'TECHNOLOGY REGISTER'!D54)</f>
        <v/>
      </c>
      <c r="E155" s="30"/>
      <c r="F155" s="42"/>
      <c r="G155" s="30"/>
      <c r="H155" s="24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</row>
    <row r="156" spans="2:54" ht="15" customHeight="1" x14ac:dyDescent="0.45">
      <c r="B156" s="39" t="s">
        <v>155</v>
      </c>
      <c r="C156" s="29"/>
      <c r="D156" s="19" t="str">
        <f>IF('TECHNOLOGY REGISTER'!D55="","",'TECHNOLOGY REGISTER'!D55)</f>
        <v/>
      </c>
      <c r="E156" s="29"/>
      <c r="F156" s="41"/>
      <c r="G156" s="29"/>
      <c r="H156" s="32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</row>
    <row r="157" spans="2:54" ht="15" customHeight="1" thickBot="1" x14ac:dyDescent="0.5">
      <c r="B157" s="40" t="s">
        <v>155</v>
      </c>
      <c r="C157" s="30"/>
      <c r="D157" s="17" t="str">
        <f>IF('TECHNOLOGY REGISTER'!D56="","",'TECHNOLOGY REGISTER'!D56)</f>
        <v/>
      </c>
      <c r="E157" s="30"/>
      <c r="F157" s="42"/>
      <c r="G157" s="30"/>
      <c r="H157" s="24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</row>
    <row r="158" spans="2:54" customFormat="1" ht="20" customHeight="1" x14ac:dyDescent="0.5">
      <c r="B158" s="69" t="s">
        <v>159</v>
      </c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</row>
    <row r="159" spans="2:54" ht="17" customHeight="1" x14ac:dyDescent="0.45">
      <c r="B159" s="39" t="s">
        <v>155</v>
      </c>
      <c r="C159" s="29" t="s">
        <v>5</v>
      </c>
      <c r="D159" s="19" t="str">
        <f>IF('TECHNOLOGY REGISTER'!D7="","",'TECHNOLOGY REGISTER'!D7)</f>
        <v>Biomass</v>
      </c>
      <c r="E159" s="29" t="s">
        <v>53</v>
      </c>
      <c r="F159" s="41"/>
      <c r="G159" s="29" t="s">
        <v>29</v>
      </c>
      <c r="H159" s="32" t="s">
        <v>98</v>
      </c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</row>
    <row r="160" spans="2:54" ht="17" customHeight="1" x14ac:dyDescent="0.45">
      <c r="B160" s="40" t="s">
        <v>155</v>
      </c>
      <c r="C160" s="30" t="s">
        <v>5</v>
      </c>
      <c r="D160" s="17" t="str">
        <f>IF('TECHNOLOGY REGISTER'!D8="","",'TECHNOLOGY REGISTER'!D8)</f>
        <v>Geothermal</v>
      </c>
      <c r="E160" s="30" t="s">
        <v>53</v>
      </c>
      <c r="F160" s="42"/>
      <c r="G160" s="30" t="s">
        <v>29</v>
      </c>
      <c r="H160" s="24" t="s">
        <v>98</v>
      </c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</row>
    <row r="161" spans="2:54" ht="17" customHeight="1" x14ac:dyDescent="0.45">
      <c r="B161" s="39" t="s">
        <v>155</v>
      </c>
      <c r="C161" s="29" t="s">
        <v>5</v>
      </c>
      <c r="D161" s="19" t="str">
        <f>IF('TECHNOLOGY REGISTER'!D9="","",'TECHNOLOGY REGISTER'!D9)</f>
        <v>Solar PV</v>
      </c>
      <c r="E161" s="29" t="s">
        <v>53</v>
      </c>
      <c r="F161" s="41"/>
      <c r="G161" s="29" t="s">
        <v>29</v>
      </c>
      <c r="H161" s="32" t="s">
        <v>98</v>
      </c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</row>
    <row r="162" spans="2:54" ht="17" customHeight="1" x14ac:dyDescent="0.45">
      <c r="B162" s="40" t="s">
        <v>155</v>
      </c>
      <c r="C162" s="30" t="s">
        <v>5</v>
      </c>
      <c r="D162" s="17" t="str">
        <f>IF('TECHNOLOGY REGISTER'!D10="","",'TECHNOLOGY REGISTER'!D10)</f>
        <v>CSP</v>
      </c>
      <c r="E162" s="30" t="s">
        <v>53</v>
      </c>
      <c r="F162" s="42"/>
      <c r="G162" s="30" t="s">
        <v>29</v>
      </c>
      <c r="H162" s="24" t="s">
        <v>98</v>
      </c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</row>
    <row r="163" spans="2:54" ht="17" customHeight="1" x14ac:dyDescent="0.45">
      <c r="B163" s="39" t="s">
        <v>155</v>
      </c>
      <c r="C163" s="29" t="s">
        <v>5</v>
      </c>
      <c r="D163" s="19" t="str">
        <f>IF('TECHNOLOGY REGISTER'!D11="","",'TECHNOLOGY REGISTER'!D11)</f>
        <v>Hydropower</v>
      </c>
      <c r="E163" s="29" t="s">
        <v>53</v>
      </c>
      <c r="F163" s="41"/>
      <c r="G163" s="29" t="s">
        <v>29</v>
      </c>
      <c r="H163" s="32" t="s">
        <v>98</v>
      </c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</row>
    <row r="164" spans="2:54" ht="17" customHeight="1" x14ac:dyDescent="0.45">
      <c r="B164" s="40" t="s">
        <v>155</v>
      </c>
      <c r="C164" s="30" t="s">
        <v>5</v>
      </c>
      <c r="D164" s="17" t="str">
        <f>IF('TECHNOLOGY REGISTER'!D12="","",'TECHNOLOGY REGISTER'!D12)</f>
        <v>Nuclear</v>
      </c>
      <c r="E164" s="30" t="s">
        <v>53</v>
      </c>
      <c r="F164" s="42"/>
      <c r="G164" s="30" t="s">
        <v>29</v>
      </c>
      <c r="H164" s="24" t="s">
        <v>98</v>
      </c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</row>
    <row r="165" spans="2:54" ht="17" customHeight="1" x14ac:dyDescent="0.45">
      <c r="B165" s="39" t="s">
        <v>155</v>
      </c>
      <c r="C165" s="29" t="s">
        <v>5</v>
      </c>
      <c r="D165" s="19" t="str">
        <f>IF('TECHNOLOGY REGISTER'!D13="","",'TECHNOLOGY REGISTER'!D13)</f>
        <v>Wind</v>
      </c>
      <c r="E165" s="29" t="s">
        <v>53</v>
      </c>
      <c r="F165" s="41"/>
      <c r="G165" s="29" t="s">
        <v>29</v>
      </c>
      <c r="H165" s="32" t="s">
        <v>98</v>
      </c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</row>
    <row r="166" spans="2:54" ht="17" customHeight="1" x14ac:dyDescent="0.45">
      <c r="B166" s="40" t="s">
        <v>155</v>
      </c>
      <c r="C166" s="30" t="s">
        <v>5</v>
      </c>
      <c r="D166" s="17" t="str">
        <f>IF('TECHNOLOGY REGISTER'!D14="","",'TECHNOLOGY REGISTER'!D14)</f>
        <v>Coal</v>
      </c>
      <c r="E166" s="30" t="s">
        <v>53</v>
      </c>
      <c r="F166" s="42"/>
      <c r="G166" s="30" t="s">
        <v>29</v>
      </c>
      <c r="H166" s="24" t="s">
        <v>98</v>
      </c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</row>
    <row r="167" spans="2:54" ht="17" customHeight="1" x14ac:dyDescent="0.45">
      <c r="B167" s="39" t="s">
        <v>155</v>
      </c>
      <c r="C167" s="29" t="s">
        <v>5</v>
      </c>
      <c r="D167" s="19" t="str">
        <f>IF('TECHNOLOGY REGISTER'!D15="","",'TECHNOLOGY REGISTER'!D15)</f>
        <v>Oil</v>
      </c>
      <c r="E167" s="29" t="s">
        <v>53</v>
      </c>
      <c r="F167" s="41"/>
      <c r="G167" s="29" t="s">
        <v>13</v>
      </c>
      <c r="H167" s="32" t="s">
        <v>98</v>
      </c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</row>
    <row r="168" spans="2:54" ht="17" customHeight="1" x14ac:dyDescent="0.45">
      <c r="B168" s="40" t="s">
        <v>155</v>
      </c>
      <c r="C168" s="30" t="s">
        <v>5</v>
      </c>
      <c r="D168" s="17" t="str">
        <f>IF('TECHNOLOGY REGISTER'!D16="","",'TECHNOLOGY REGISTER'!D16)</f>
        <v>Gas</v>
      </c>
      <c r="E168" s="30" t="s">
        <v>53</v>
      </c>
      <c r="F168" s="42"/>
      <c r="G168" s="30" t="s">
        <v>156</v>
      </c>
      <c r="H168" s="24" t="s">
        <v>98</v>
      </c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</row>
    <row r="169" spans="2:54" ht="17" customHeight="1" x14ac:dyDescent="0.45">
      <c r="B169" s="39" t="s">
        <v>155</v>
      </c>
      <c r="C169" s="29" t="s">
        <v>5</v>
      </c>
      <c r="D169" s="19" t="str">
        <f>IF('TECHNOLOGY REGISTER'!D17="","",'TECHNOLOGY REGISTER'!D17)</f>
        <v>Transmission</v>
      </c>
      <c r="E169" s="29" t="s">
        <v>53</v>
      </c>
      <c r="F169" s="41"/>
      <c r="G169" s="29" t="s">
        <v>29</v>
      </c>
      <c r="H169" s="32" t="s">
        <v>98</v>
      </c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</row>
    <row r="170" spans="2:54" ht="17" customHeight="1" x14ac:dyDescent="0.45">
      <c r="B170" s="40" t="s">
        <v>155</v>
      </c>
      <c r="C170" s="30" t="s">
        <v>5</v>
      </c>
      <c r="D170" s="17" t="str">
        <f>IF('TECHNOLOGY REGISTER'!D18="","",'TECHNOLOGY REGISTER'!D18)</f>
        <v>Distribution</v>
      </c>
      <c r="E170" s="30" t="s">
        <v>53</v>
      </c>
      <c r="F170" s="42"/>
      <c r="G170" s="30" t="s">
        <v>29</v>
      </c>
      <c r="H170" s="24" t="s">
        <v>98</v>
      </c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</row>
    <row r="171" spans="2:54" ht="17" customHeight="1" x14ac:dyDescent="0.45">
      <c r="B171" s="39" t="s">
        <v>155</v>
      </c>
      <c r="C171" s="29"/>
      <c r="D171" s="19" t="str">
        <f>IF('TECHNOLOGY REGISTER'!D19="","",'TECHNOLOGY REGISTER'!D19)</f>
        <v>Imports</v>
      </c>
      <c r="E171" s="29"/>
      <c r="F171" s="41"/>
      <c r="G171" s="29"/>
      <c r="H171" s="32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</row>
    <row r="172" spans="2:54" ht="17" customHeight="1" x14ac:dyDescent="0.45">
      <c r="B172" s="40" t="s">
        <v>155</v>
      </c>
      <c r="C172" s="30"/>
      <c r="D172" s="17" t="str">
        <f>IF('TECHNOLOGY REGISTER'!D20="","",'TECHNOLOGY REGISTER'!D20)</f>
        <v>Energy Exports</v>
      </c>
      <c r="E172" s="30"/>
      <c r="F172" s="42"/>
      <c r="G172" s="30"/>
      <c r="H172" s="24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</row>
    <row r="173" spans="2:54" ht="17" customHeight="1" x14ac:dyDescent="0.45">
      <c r="B173" s="39" t="s">
        <v>155</v>
      </c>
      <c r="C173" s="29"/>
      <c r="D173" s="19" t="str">
        <f>IF('TECHNOLOGY REGISTER'!D21="","",'TECHNOLOGY REGISTER'!D21)</f>
        <v>Direct Solar</v>
      </c>
      <c r="E173" s="29"/>
      <c r="F173" s="41"/>
      <c r="G173" s="29"/>
      <c r="H173" s="32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</row>
    <row r="174" spans="2:54" ht="15" customHeight="1" x14ac:dyDescent="0.45">
      <c r="B174" s="40" t="s">
        <v>155</v>
      </c>
      <c r="C174" s="30"/>
      <c r="D174" s="17" t="str">
        <f>IF('TECHNOLOGY REGISTER'!D22="","",'TECHNOLOGY REGISTER'!D22)</f>
        <v>Direct Oil</v>
      </c>
      <c r="E174" s="30"/>
      <c r="F174" s="42"/>
      <c r="G174" s="30"/>
      <c r="H174" s="24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</row>
    <row r="175" spans="2:54" ht="15" customHeight="1" x14ac:dyDescent="0.45">
      <c r="B175" s="39" t="s">
        <v>155</v>
      </c>
      <c r="C175" s="29"/>
      <c r="D175" s="19" t="str">
        <f>IF('TECHNOLOGY REGISTER'!D23="","",'TECHNOLOGY REGISTER'!D23)</f>
        <v>Direct Hydro</v>
      </c>
      <c r="E175" s="29"/>
      <c r="F175" s="41"/>
      <c r="G175" s="29"/>
      <c r="H175" s="32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</row>
    <row r="176" spans="2:54" ht="15" customHeight="1" x14ac:dyDescent="0.45">
      <c r="B176" s="40" t="s">
        <v>155</v>
      </c>
      <c r="C176" s="30"/>
      <c r="D176" s="17" t="str">
        <f>IF('TECHNOLOGY REGISTER'!D24="","",'TECHNOLOGY REGISTER'!D24)</f>
        <v/>
      </c>
      <c r="E176" s="30"/>
      <c r="F176" s="42"/>
      <c r="G176" s="30"/>
      <c r="H176" s="24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</row>
    <row r="177" spans="2:54" ht="15" customHeight="1" x14ac:dyDescent="0.45">
      <c r="B177" s="39" t="s">
        <v>155</v>
      </c>
      <c r="C177" s="29"/>
      <c r="D177" s="19" t="str">
        <f>IF('TECHNOLOGY REGISTER'!D25="","",'TECHNOLOGY REGISTER'!D25)</f>
        <v/>
      </c>
      <c r="E177" s="29"/>
      <c r="F177" s="41"/>
      <c r="G177" s="29"/>
      <c r="H177" s="32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</row>
    <row r="178" spans="2:54" ht="15" customHeight="1" x14ac:dyDescent="0.45">
      <c r="B178" s="40" t="s">
        <v>155</v>
      </c>
      <c r="C178" s="30"/>
      <c r="D178" s="17" t="str">
        <f>IF('TECHNOLOGY REGISTER'!D26="","",'TECHNOLOGY REGISTER'!D26)</f>
        <v/>
      </c>
      <c r="E178" s="30"/>
      <c r="F178" s="42"/>
      <c r="G178" s="30"/>
      <c r="H178" s="24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</row>
    <row r="179" spans="2:54" ht="15" customHeight="1" x14ac:dyDescent="0.45">
      <c r="B179" s="39" t="s">
        <v>155</v>
      </c>
      <c r="C179" s="29"/>
      <c r="D179" s="19" t="str">
        <f>IF('TECHNOLOGY REGISTER'!D27="","",'TECHNOLOGY REGISTER'!D27)</f>
        <v/>
      </c>
      <c r="E179" s="29"/>
      <c r="F179" s="41"/>
      <c r="G179" s="29"/>
      <c r="H179" s="32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</row>
    <row r="180" spans="2:54" ht="15" customHeight="1" x14ac:dyDescent="0.45">
      <c r="B180" s="40" t="s">
        <v>155</v>
      </c>
      <c r="C180" s="30"/>
      <c r="D180" s="17" t="str">
        <f>IF('TECHNOLOGY REGISTER'!D28="","",'TECHNOLOGY REGISTER'!D28)</f>
        <v/>
      </c>
      <c r="E180" s="30"/>
      <c r="F180" s="42"/>
      <c r="G180" s="30"/>
      <c r="H180" s="24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</row>
    <row r="181" spans="2:54" ht="15" customHeight="1" x14ac:dyDescent="0.45">
      <c r="B181" s="39" t="s">
        <v>155</v>
      </c>
      <c r="C181" s="29"/>
      <c r="D181" s="19" t="str">
        <f>IF('TECHNOLOGY REGISTER'!D29="","",'TECHNOLOGY REGISTER'!D29)</f>
        <v/>
      </c>
      <c r="E181" s="29"/>
      <c r="F181" s="41"/>
      <c r="G181" s="29"/>
      <c r="H181" s="32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</row>
    <row r="182" spans="2:54" ht="15" customHeight="1" x14ac:dyDescent="0.45">
      <c r="B182" s="40" t="s">
        <v>155</v>
      </c>
      <c r="C182" s="30"/>
      <c r="D182" s="17" t="str">
        <f>IF('TECHNOLOGY REGISTER'!D30="","",'TECHNOLOGY REGISTER'!D30)</f>
        <v/>
      </c>
      <c r="E182" s="30"/>
      <c r="F182" s="42"/>
      <c r="G182" s="30"/>
      <c r="H182" s="24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</row>
    <row r="183" spans="2:54" ht="15" customHeight="1" x14ac:dyDescent="0.45">
      <c r="B183" s="39" t="s">
        <v>155</v>
      </c>
      <c r="C183" s="29"/>
      <c r="D183" s="19" t="str">
        <f>IF('TECHNOLOGY REGISTER'!D31="","",'TECHNOLOGY REGISTER'!D31)</f>
        <v/>
      </c>
      <c r="E183" s="29"/>
      <c r="F183" s="41"/>
      <c r="G183" s="29"/>
      <c r="H183" s="32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</row>
    <row r="184" spans="2:54" ht="15" customHeight="1" x14ac:dyDescent="0.45">
      <c r="B184" s="40" t="s">
        <v>155</v>
      </c>
      <c r="C184" s="30"/>
      <c r="D184" s="17" t="str">
        <f>IF('TECHNOLOGY REGISTER'!D32="","",'TECHNOLOGY REGISTER'!D32)</f>
        <v/>
      </c>
      <c r="E184" s="30"/>
      <c r="F184" s="42"/>
      <c r="G184" s="30"/>
      <c r="H184" s="24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</row>
    <row r="185" spans="2:54" ht="15" customHeight="1" x14ac:dyDescent="0.45">
      <c r="B185" s="39" t="s">
        <v>155</v>
      </c>
      <c r="C185" s="29"/>
      <c r="D185" s="19" t="str">
        <f>IF('TECHNOLOGY REGISTER'!D33="","",'TECHNOLOGY REGISTER'!D33)</f>
        <v/>
      </c>
      <c r="E185" s="29"/>
      <c r="F185" s="41"/>
      <c r="G185" s="29"/>
      <c r="H185" s="32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</row>
    <row r="186" spans="2:54" ht="15" customHeight="1" x14ac:dyDescent="0.45">
      <c r="B186" s="40" t="s">
        <v>155</v>
      </c>
      <c r="C186" s="30"/>
      <c r="D186" s="17" t="str">
        <f>IF('TECHNOLOGY REGISTER'!D34="","",'TECHNOLOGY REGISTER'!D34)</f>
        <v/>
      </c>
      <c r="E186" s="30"/>
      <c r="F186" s="42"/>
      <c r="G186" s="30"/>
      <c r="H186" s="24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</row>
    <row r="187" spans="2:54" ht="15" customHeight="1" x14ac:dyDescent="0.45">
      <c r="B187" s="39" t="s">
        <v>155</v>
      </c>
      <c r="C187" s="29"/>
      <c r="D187" s="19" t="str">
        <f>IF('TECHNOLOGY REGISTER'!D35="","",'TECHNOLOGY REGISTER'!D35)</f>
        <v/>
      </c>
      <c r="E187" s="29"/>
      <c r="F187" s="41"/>
      <c r="G187" s="29"/>
      <c r="H187" s="32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</row>
    <row r="188" spans="2:54" ht="15" customHeight="1" x14ac:dyDescent="0.45">
      <c r="B188" s="40" t="s">
        <v>155</v>
      </c>
      <c r="C188" s="30"/>
      <c r="D188" s="17" t="str">
        <f>IF('TECHNOLOGY REGISTER'!D36="","",'TECHNOLOGY REGISTER'!D36)</f>
        <v/>
      </c>
      <c r="E188" s="30"/>
      <c r="F188" s="42"/>
      <c r="G188" s="30"/>
      <c r="H188" s="24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</row>
    <row r="189" spans="2:54" ht="15" customHeight="1" x14ac:dyDescent="0.45">
      <c r="B189" s="39" t="s">
        <v>155</v>
      </c>
      <c r="C189" s="29"/>
      <c r="D189" s="19" t="str">
        <f>IF('TECHNOLOGY REGISTER'!D37="","",'TECHNOLOGY REGISTER'!D37)</f>
        <v/>
      </c>
      <c r="E189" s="29"/>
      <c r="F189" s="41"/>
      <c r="G189" s="29"/>
      <c r="H189" s="32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</row>
    <row r="190" spans="2:54" ht="15" customHeight="1" x14ac:dyDescent="0.45">
      <c r="B190" s="40" t="s">
        <v>155</v>
      </c>
      <c r="C190" s="30"/>
      <c r="D190" s="17" t="str">
        <f>IF('TECHNOLOGY REGISTER'!D38="","",'TECHNOLOGY REGISTER'!D38)</f>
        <v/>
      </c>
      <c r="E190" s="30"/>
      <c r="F190" s="42"/>
      <c r="G190" s="30"/>
      <c r="H190" s="24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</row>
    <row r="191" spans="2:54" ht="15" customHeight="1" x14ac:dyDescent="0.45">
      <c r="B191" s="39" t="s">
        <v>155</v>
      </c>
      <c r="C191" s="29"/>
      <c r="D191" s="19" t="str">
        <f>IF('TECHNOLOGY REGISTER'!D39="","",'TECHNOLOGY REGISTER'!D39)</f>
        <v/>
      </c>
      <c r="E191" s="29"/>
      <c r="F191" s="41"/>
      <c r="G191" s="29"/>
      <c r="H191" s="32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</row>
    <row r="192" spans="2:54" ht="15" customHeight="1" x14ac:dyDescent="0.45">
      <c r="B192" s="40" t="s">
        <v>155</v>
      </c>
      <c r="C192" s="30"/>
      <c r="D192" s="17" t="str">
        <f>IF('TECHNOLOGY REGISTER'!D40="","",'TECHNOLOGY REGISTER'!D40)</f>
        <v/>
      </c>
      <c r="E192" s="30"/>
      <c r="F192" s="42"/>
      <c r="G192" s="30"/>
      <c r="H192" s="24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</row>
    <row r="193" spans="2:54" ht="15" customHeight="1" x14ac:dyDescent="0.45">
      <c r="B193" s="39" t="s">
        <v>155</v>
      </c>
      <c r="C193" s="29"/>
      <c r="D193" s="19" t="str">
        <f>IF('TECHNOLOGY REGISTER'!D41="","",'TECHNOLOGY REGISTER'!D41)</f>
        <v/>
      </c>
      <c r="E193" s="29"/>
      <c r="F193" s="41"/>
      <c r="G193" s="29"/>
      <c r="H193" s="32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</row>
    <row r="194" spans="2:54" ht="15" customHeight="1" x14ac:dyDescent="0.45">
      <c r="B194" s="40" t="s">
        <v>155</v>
      </c>
      <c r="C194" s="30"/>
      <c r="D194" s="17" t="str">
        <f>IF('TECHNOLOGY REGISTER'!D42="","",'TECHNOLOGY REGISTER'!D42)</f>
        <v/>
      </c>
      <c r="E194" s="30"/>
      <c r="F194" s="42"/>
      <c r="G194" s="30"/>
      <c r="H194" s="24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</row>
    <row r="195" spans="2:54" ht="15" customHeight="1" x14ac:dyDescent="0.45">
      <c r="B195" s="39" t="s">
        <v>155</v>
      </c>
      <c r="C195" s="29"/>
      <c r="D195" s="19" t="str">
        <f>IF('TECHNOLOGY REGISTER'!D43="","",'TECHNOLOGY REGISTER'!D43)</f>
        <v/>
      </c>
      <c r="E195" s="29"/>
      <c r="F195" s="41"/>
      <c r="G195" s="29"/>
      <c r="H195" s="32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</row>
    <row r="196" spans="2:54" ht="15" customHeight="1" x14ac:dyDescent="0.45">
      <c r="B196" s="40" t="s">
        <v>155</v>
      </c>
      <c r="C196" s="30"/>
      <c r="D196" s="17" t="str">
        <f>IF('TECHNOLOGY REGISTER'!D44="","",'TECHNOLOGY REGISTER'!D44)</f>
        <v/>
      </c>
      <c r="E196" s="30"/>
      <c r="F196" s="42"/>
      <c r="G196" s="30"/>
      <c r="H196" s="24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</row>
    <row r="197" spans="2:54" ht="15" customHeight="1" x14ac:dyDescent="0.45">
      <c r="B197" s="39" t="s">
        <v>155</v>
      </c>
      <c r="C197" s="29"/>
      <c r="D197" s="19" t="str">
        <f>IF('TECHNOLOGY REGISTER'!D45="","",'TECHNOLOGY REGISTER'!D45)</f>
        <v/>
      </c>
      <c r="E197" s="29"/>
      <c r="F197" s="41"/>
      <c r="G197" s="29"/>
      <c r="H197" s="32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</row>
    <row r="198" spans="2:54" ht="15" customHeight="1" x14ac:dyDescent="0.45">
      <c r="B198" s="40" t="s">
        <v>155</v>
      </c>
      <c r="C198" s="30"/>
      <c r="D198" s="17" t="str">
        <f>IF('TECHNOLOGY REGISTER'!D46="","",'TECHNOLOGY REGISTER'!D46)</f>
        <v/>
      </c>
      <c r="E198" s="30"/>
      <c r="F198" s="42"/>
      <c r="G198" s="30"/>
      <c r="H198" s="24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</row>
    <row r="199" spans="2:54" ht="15" customHeight="1" x14ac:dyDescent="0.45">
      <c r="B199" s="39" t="s">
        <v>155</v>
      </c>
      <c r="C199" s="29"/>
      <c r="D199" s="19" t="str">
        <f>IF('TECHNOLOGY REGISTER'!D47="","",'TECHNOLOGY REGISTER'!D47)</f>
        <v/>
      </c>
      <c r="E199" s="29"/>
      <c r="F199" s="41"/>
      <c r="G199" s="29"/>
      <c r="H199" s="32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</row>
    <row r="200" spans="2:54" ht="15" customHeight="1" x14ac:dyDescent="0.45">
      <c r="B200" s="40" t="s">
        <v>155</v>
      </c>
      <c r="C200" s="30"/>
      <c r="D200" s="17" t="str">
        <f>IF('TECHNOLOGY REGISTER'!D48="","",'TECHNOLOGY REGISTER'!D48)</f>
        <v/>
      </c>
      <c r="E200" s="30"/>
      <c r="F200" s="42"/>
      <c r="G200" s="30"/>
      <c r="H200" s="24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</row>
    <row r="201" spans="2:54" ht="15" customHeight="1" x14ac:dyDescent="0.45">
      <c r="B201" s="39" t="s">
        <v>155</v>
      </c>
      <c r="C201" s="29"/>
      <c r="D201" s="19" t="str">
        <f>IF('TECHNOLOGY REGISTER'!D49="","",'TECHNOLOGY REGISTER'!D49)</f>
        <v/>
      </c>
      <c r="E201" s="29"/>
      <c r="F201" s="41"/>
      <c r="G201" s="29"/>
      <c r="H201" s="32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</row>
    <row r="202" spans="2:54" ht="15" customHeight="1" x14ac:dyDescent="0.45">
      <c r="B202" s="40" t="s">
        <v>155</v>
      </c>
      <c r="C202" s="30"/>
      <c r="D202" s="17" t="str">
        <f>IF('TECHNOLOGY REGISTER'!D50="","",'TECHNOLOGY REGISTER'!D50)</f>
        <v/>
      </c>
      <c r="E202" s="30"/>
      <c r="F202" s="42"/>
      <c r="G202" s="30"/>
      <c r="H202" s="24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</row>
    <row r="203" spans="2:54" ht="15" customHeight="1" x14ac:dyDescent="0.45">
      <c r="B203" s="39" t="s">
        <v>155</v>
      </c>
      <c r="C203" s="29"/>
      <c r="D203" s="19" t="str">
        <f>IF('TECHNOLOGY REGISTER'!D51="","",'TECHNOLOGY REGISTER'!D51)</f>
        <v/>
      </c>
      <c r="E203" s="29"/>
      <c r="F203" s="41"/>
      <c r="G203" s="29"/>
      <c r="H203" s="32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</row>
    <row r="204" spans="2:54" ht="15" customHeight="1" x14ac:dyDescent="0.45">
      <c r="B204" s="40" t="s">
        <v>155</v>
      </c>
      <c r="C204" s="30"/>
      <c r="D204" s="17" t="str">
        <f>IF('TECHNOLOGY REGISTER'!D52="","",'TECHNOLOGY REGISTER'!D52)</f>
        <v/>
      </c>
      <c r="E204" s="30"/>
      <c r="F204" s="42"/>
      <c r="G204" s="30"/>
      <c r="H204" s="24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</row>
    <row r="205" spans="2:54" ht="15" customHeight="1" x14ac:dyDescent="0.45">
      <c r="B205" s="39" t="s">
        <v>155</v>
      </c>
      <c r="C205" s="29"/>
      <c r="D205" s="19" t="str">
        <f>IF('TECHNOLOGY REGISTER'!D53="","",'TECHNOLOGY REGISTER'!D53)</f>
        <v/>
      </c>
      <c r="E205" s="29"/>
      <c r="F205" s="41"/>
      <c r="G205" s="29"/>
      <c r="H205" s="32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</row>
    <row r="206" spans="2:54" ht="15" customHeight="1" x14ac:dyDescent="0.45">
      <c r="B206" s="40" t="s">
        <v>155</v>
      </c>
      <c r="C206" s="30"/>
      <c r="D206" s="17" t="str">
        <f>IF('TECHNOLOGY REGISTER'!D54="","",'TECHNOLOGY REGISTER'!D54)</f>
        <v/>
      </c>
      <c r="E206" s="30"/>
      <c r="F206" s="42"/>
      <c r="G206" s="30"/>
      <c r="H206" s="24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</row>
    <row r="207" spans="2:54" ht="15" customHeight="1" x14ac:dyDescent="0.45">
      <c r="B207" s="39" t="s">
        <v>155</v>
      </c>
      <c r="C207" s="29"/>
      <c r="D207" s="19" t="str">
        <f>IF('TECHNOLOGY REGISTER'!D55="","",'TECHNOLOGY REGISTER'!D55)</f>
        <v/>
      </c>
      <c r="E207" s="29"/>
      <c r="F207" s="41"/>
      <c r="G207" s="29"/>
      <c r="H207" s="32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</row>
    <row r="208" spans="2:54" ht="15" customHeight="1" thickBot="1" x14ac:dyDescent="0.5">
      <c r="B208" s="40" t="s">
        <v>155</v>
      </c>
      <c r="C208" s="30"/>
      <c r="D208" s="17" t="str">
        <f>IF('TECHNOLOGY REGISTER'!D56="","",'TECHNOLOGY REGISTER'!D56)</f>
        <v/>
      </c>
      <c r="E208" s="30"/>
      <c r="F208" s="42"/>
      <c r="G208" s="30"/>
      <c r="H208" s="24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</row>
    <row r="209" spans="2:54" customFormat="1" ht="20" customHeight="1" x14ac:dyDescent="0.5">
      <c r="B209" s="69" t="s">
        <v>160</v>
      </c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</row>
    <row r="210" spans="2:54" ht="17" customHeight="1" x14ac:dyDescent="0.45">
      <c r="B210" s="39" t="s">
        <v>155</v>
      </c>
      <c r="C210" s="29" t="s">
        <v>5</v>
      </c>
      <c r="D210" s="19" t="str">
        <f>IF('TECHNOLOGY REGISTER'!D7="","",'TECHNOLOGY REGISTER'!D7)</f>
        <v>Biomass</v>
      </c>
      <c r="E210" s="29" t="s">
        <v>53</v>
      </c>
      <c r="F210" s="41"/>
      <c r="G210" s="29" t="s">
        <v>29</v>
      </c>
      <c r="H210" s="32" t="s">
        <v>98</v>
      </c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</row>
    <row r="211" spans="2:54" ht="17" customHeight="1" x14ac:dyDescent="0.45">
      <c r="B211" s="40" t="s">
        <v>155</v>
      </c>
      <c r="C211" s="30" t="s">
        <v>5</v>
      </c>
      <c r="D211" s="17" t="str">
        <f>IF('TECHNOLOGY REGISTER'!D8="","",'TECHNOLOGY REGISTER'!D8)</f>
        <v>Geothermal</v>
      </c>
      <c r="E211" s="30" t="s">
        <v>53</v>
      </c>
      <c r="F211" s="42"/>
      <c r="G211" s="30" t="s">
        <v>29</v>
      </c>
      <c r="H211" s="24" t="s">
        <v>98</v>
      </c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</row>
    <row r="212" spans="2:54" ht="17" customHeight="1" x14ac:dyDescent="0.45">
      <c r="B212" s="39" t="s">
        <v>155</v>
      </c>
      <c r="C212" s="29" t="s">
        <v>5</v>
      </c>
      <c r="D212" s="19" t="str">
        <f>IF('TECHNOLOGY REGISTER'!D9="","",'TECHNOLOGY REGISTER'!D9)</f>
        <v>Solar PV</v>
      </c>
      <c r="E212" s="29" t="s">
        <v>53</v>
      </c>
      <c r="F212" s="41"/>
      <c r="G212" s="29" t="s">
        <v>29</v>
      </c>
      <c r="H212" s="32" t="s">
        <v>98</v>
      </c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</row>
    <row r="213" spans="2:54" ht="17" customHeight="1" x14ac:dyDescent="0.45">
      <c r="B213" s="40" t="s">
        <v>155</v>
      </c>
      <c r="C213" s="30" t="s">
        <v>5</v>
      </c>
      <c r="D213" s="17" t="str">
        <f>IF('TECHNOLOGY REGISTER'!D10="","",'TECHNOLOGY REGISTER'!D10)</f>
        <v>CSP</v>
      </c>
      <c r="E213" s="30" t="s">
        <v>53</v>
      </c>
      <c r="F213" s="42"/>
      <c r="G213" s="30" t="s">
        <v>29</v>
      </c>
      <c r="H213" s="24" t="s">
        <v>98</v>
      </c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</row>
    <row r="214" spans="2:54" ht="17" customHeight="1" x14ac:dyDescent="0.45">
      <c r="B214" s="39" t="s">
        <v>155</v>
      </c>
      <c r="C214" s="29" t="s">
        <v>5</v>
      </c>
      <c r="D214" s="19" t="str">
        <f>IF('TECHNOLOGY REGISTER'!D11="","",'TECHNOLOGY REGISTER'!D11)</f>
        <v>Hydropower</v>
      </c>
      <c r="E214" s="29" t="s">
        <v>53</v>
      </c>
      <c r="F214" s="41"/>
      <c r="G214" s="29" t="s">
        <v>29</v>
      </c>
      <c r="H214" s="32" t="s">
        <v>98</v>
      </c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</row>
    <row r="215" spans="2:54" ht="17" customHeight="1" x14ac:dyDescent="0.45">
      <c r="B215" s="40" t="s">
        <v>155</v>
      </c>
      <c r="C215" s="30" t="s">
        <v>5</v>
      </c>
      <c r="D215" s="17" t="str">
        <f>IF('TECHNOLOGY REGISTER'!D12="","",'TECHNOLOGY REGISTER'!D12)</f>
        <v>Nuclear</v>
      </c>
      <c r="E215" s="30" t="s">
        <v>53</v>
      </c>
      <c r="F215" s="42"/>
      <c r="G215" s="30" t="s">
        <v>29</v>
      </c>
      <c r="H215" s="24" t="s">
        <v>98</v>
      </c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</row>
    <row r="216" spans="2:54" ht="17" customHeight="1" x14ac:dyDescent="0.45">
      <c r="B216" s="39" t="s">
        <v>155</v>
      </c>
      <c r="C216" s="29" t="s">
        <v>5</v>
      </c>
      <c r="D216" s="19" t="str">
        <f>IF('TECHNOLOGY REGISTER'!D13="","",'TECHNOLOGY REGISTER'!D13)</f>
        <v>Wind</v>
      </c>
      <c r="E216" s="29" t="s">
        <v>53</v>
      </c>
      <c r="F216" s="41"/>
      <c r="G216" s="29" t="s">
        <v>29</v>
      </c>
      <c r="H216" s="32" t="s">
        <v>98</v>
      </c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</row>
    <row r="217" spans="2:54" ht="17" customHeight="1" x14ac:dyDescent="0.45">
      <c r="B217" s="40" t="s">
        <v>155</v>
      </c>
      <c r="C217" s="30" t="s">
        <v>5</v>
      </c>
      <c r="D217" s="17" t="str">
        <f>IF('TECHNOLOGY REGISTER'!D14="","",'TECHNOLOGY REGISTER'!D14)</f>
        <v>Coal</v>
      </c>
      <c r="E217" s="30" t="s">
        <v>53</v>
      </c>
      <c r="F217" s="42"/>
      <c r="G217" s="30" t="s">
        <v>29</v>
      </c>
      <c r="H217" s="24" t="s">
        <v>98</v>
      </c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</row>
    <row r="218" spans="2:54" ht="17" customHeight="1" x14ac:dyDescent="0.45">
      <c r="B218" s="39" t="s">
        <v>155</v>
      </c>
      <c r="C218" s="29" t="s">
        <v>5</v>
      </c>
      <c r="D218" s="19" t="str">
        <f>IF('TECHNOLOGY REGISTER'!D15="","",'TECHNOLOGY REGISTER'!D15)</f>
        <v>Oil</v>
      </c>
      <c r="E218" s="29" t="s">
        <v>53</v>
      </c>
      <c r="F218" s="41"/>
      <c r="G218" s="29" t="s">
        <v>13</v>
      </c>
      <c r="H218" s="32" t="s">
        <v>98</v>
      </c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</row>
    <row r="219" spans="2:54" ht="17" customHeight="1" x14ac:dyDescent="0.45">
      <c r="B219" s="40" t="s">
        <v>155</v>
      </c>
      <c r="C219" s="30" t="s">
        <v>5</v>
      </c>
      <c r="D219" s="17" t="str">
        <f>IF('TECHNOLOGY REGISTER'!D16="","",'TECHNOLOGY REGISTER'!D16)</f>
        <v>Gas</v>
      </c>
      <c r="E219" s="30" t="s">
        <v>53</v>
      </c>
      <c r="F219" s="42"/>
      <c r="G219" s="30" t="s">
        <v>156</v>
      </c>
      <c r="H219" s="24" t="s">
        <v>98</v>
      </c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</row>
    <row r="220" spans="2:54" ht="17" customHeight="1" x14ac:dyDescent="0.45">
      <c r="B220" s="39" t="s">
        <v>155</v>
      </c>
      <c r="C220" s="29" t="s">
        <v>5</v>
      </c>
      <c r="D220" s="19" t="str">
        <f>IF('TECHNOLOGY REGISTER'!D17="","",'TECHNOLOGY REGISTER'!D17)</f>
        <v>Transmission</v>
      </c>
      <c r="E220" s="29" t="s">
        <v>53</v>
      </c>
      <c r="F220" s="41"/>
      <c r="G220" s="29" t="s">
        <v>29</v>
      </c>
      <c r="H220" s="32" t="s">
        <v>98</v>
      </c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</row>
    <row r="221" spans="2:54" ht="17" customHeight="1" x14ac:dyDescent="0.45">
      <c r="B221" s="40" t="s">
        <v>155</v>
      </c>
      <c r="C221" s="30" t="s">
        <v>5</v>
      </c>
      <c r="D221" s="17" t="str">
        <f>IF('TECHNOLOGY REGISTER'!D18="","",'TECHNOLOGY REGISTER'!D18)</f>
        <v>Distribution</v>
      </c>
      <c r="E221" s="30" t="s">
        <v>53</v>
      </c>
      <c r="F221" s="42"/>
      <c r="G221" s="30" t="s">
        <v>29</v>
      </c>
      <c r="H221" s="24" t="s">
        <v>98</v>
      </c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</row>
    <row r="222" spans="2:54" ht="17" customHeight="1" x14ac:dyDescent="0.45">
      <c r="B222" s="39" t="s">
        <v>155</v>
      </c>
      <c r="C222" s="29"/>
      <c r="D222" s="19" t="str">
        <f>IF('TECHNOLOGY REGISTER'!D19="","",'TECHNOLOGY REGISTER'!D19)</f>
        <v>Imports</v>
      </c>
      <c r="E222" s="29"/>
      <c r="F222" s="41"/>
      <c r="G222" s="29"/>
      <c r="H222" s="32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</row>
    <row r="223" spans="2:54" ht="17" customHeight="1" x14ac:dyDescent="0.45">
      <c r="B223" s="40" t="s">
        <v>155</v>
      </c>
      <c r="C223" s="30"/>
      <c r="D223" s="17" t="str">
        <f>IF('TECHNOLOGY REGISTER'!D20="","",'TECHNOLOGY REGISTER'!D20)</f>
        <v>Energy Exports</v>
      </c>
      <c r="E223" s="30"/>
      <c r="F223" s="42"/>
      <c r="G223" s="30"/>
      <c r="H223" s="24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</row>
    <row r="224" spans="2:54" ht="17" customHeight="1" x14ac:dyDescent="0.45">
      <c r="B224" s="39" t="s">
        <v>155</v>
      </c>
      <c r="C224" s="29"/>
      <c r="D224" s="19" t="str">
        <f>IF('TECHNOLOGY REGISTER'!D21="","",'TECHNOLOGY REGISTER'!D21)</f>
        <v>Direct Solar</v>
      </c>
      <c r="E224" s="29"/>
      <c r="F224" s="41"/>
      <c r="G224" s="29"/>
      <c r="H224" s="32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</row>
    <row r="225" spans="2:54" ht="15" customHeight="1" x14ac:dyDescent="0.45">
      <c r="B225" s="40" t="s">
        <v>155</v>
      </c>
      <c r="C225" s="30"/>
      <c r="D225" s="17" t="str">
        <f>IF('TECHNOLOGY REGISTER'!D22="","",'TECHNOLOGY REGISTER'!D22)</f>
        <v>Direct Oil</v>
      </c>
      <c r="E225" s="30"/>
      <c r="F225" s="42"/>
      <c r="G225" s="30"/>
      <c r="H225" s="24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</row>
    <row r="226" spans="2:54" ht="15" customHeight="1" x14ac:dyDescent="0.45">
      <c r="B226" s="39" t="s">
        <v>155</v>
      </c>
      <c r="C226" s="29"/>
      <c r="D226" s="19" t="str">
        <f>IF('TECHNOLOGY REGISTER'!D23="","",'TECHNOLOGY REGISTER'!D23)</f>
        <v>Direct Hydro</v>
      </c>
      <c r="E226" s="29"/>
      <c r="F226" s="41"/>
      <c r="G226" s="29"/>
      <c r="H226" s="32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</row>
    <row r="227" spans="2:54" ht="15" customHeight="1" x14ac:dyDescent="0.45">
      <c r="B227" s="40" t="s">
        <v>155</v>
      </c>
      <c r="C227" s="30"/>
      <c r="D227" s="17" t="str">
        <f>IF('TECHNOLOGY REGISTER'!D24="","",'TECHNOLOGY REGISTER'!D24)</f>
        <v/>
      </c>
      <c r="E227" s="30"/>
      <c r="F227" s="42"/>
      <c r="G227" s="30"/>
      <c r="H227" s="24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</row>
    <row r="228" spans="2:54" ht="15" customHeight="1" x14ac:dyDescent="0.45">
      <c r="B228" s="39" t="s">
        <v>155</v>
      </c>
      <c r="C228" s="29"/>
      <c r="D228" s="19" t="str">
        <f>IF('TECHNOLOGY REGISTER'!D25="","",'TECHNOLOGY REGISTER'!D25)</f>
        <v/>
      </c>
      <c r="E228" s="29"/>
      <c r="F228" s="41"/>
      <c r="G228" s="29"/>
      <c r="H228" s="32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</row>
    <row r="229" spans="2:54" ht="15" customHeight="1" x14ac:dyDescent="0.45">
      <c r="B229" s="40" t="s">
        <v>155</v>
      </c>
      <c r="C229" s="30"/>
      <c r="D229" s="17" t="str">
        <f>IF('TECHNOLOGY REGISTER'!D26="","",'TECHNOLOGY REGISTER'!D26)</f>
        <v/>
      </c>
      <c r="E229" s="30"/>
      <c r="F229" s="42"/>
      <c r="G229" s="30"/>
      <c r="H229" s="24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</row>
    <row r="230" spans="2:54" ht="15" customHeight="1" x14ac:dyDescent="0.45">
      <c r="B230" s="39" t="s">
        <v>155</v>
      </c>
      <c r="C230" s="29"/>
      <c r="D230" s="19" t="str">
        <f>IF('TECHNOLOGY REGISTER'!D27="","",'TECHNOLOGY REGISTER'!D27)</f>
        <v/>
      </c>
      <c r="E230" s="29"/>
      <c r="F230" s="41"/>
      <c r="G230" s="29"/>
      <c r="H230" s="32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</row>
    <row r="231" spans="2:54" ht="15" customHeight="1" x14ac:dyDescent="0.45">
      <c r="B231" s="40" t="s">
        <v>155</v>
      </c>
      <c r="C231" s="30"/>
      <c r="D231" s="17" t="str">
        <f>IF('TECHNOLOGY REGISTER'!D28="","",'TECHNOLOGY REGISTER'!D28)</f>
        <v/>
      </c>
      <c r="E231" s="30"/>
      <c r="F231" s="42"/>
      <c r="G231" s="30"/>
      <c r="H231" s="24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</row>
    <row r="232" spans="2:54" ht="15" customHeight="1" x14ac:dyDescent="0.45">
      <c r="B232" s="39" t="s">
        <v>155</v>
      </c>
      <c r="C232" s="29"/>
      <c r="D232" s="19" t="str">
        <f>IF('TECHNOLOGY REGISTER'!D29="","",'TECHNOLOGY REGISTER'!D29)</f>
        <v/>
      </c>
      <c r="E232" s="29"/>
      <c r="F232" s="41"/>
      <c r="G232" s="29"/>
      <c r="H232" s="32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</row>
    <row r="233" spans="2:54" ht="15" customHeight="1" x14ac:dyDescent="0.45">
      <c r="B233" s="40" t="s">
        <v>155</v>
      </c>
      <c r="C233" s="30"/>
      <c r="D233" s="17" t="str">
        <f>IF('TECHNOLOGY REGISTER'!D30="","",'TECHNOLOGY REGISTER'!D30)</f>
        <v/>
      </c>
      <c r="E233" s="30"/>
      <c r="F233" s="42"/>
      <c r="G233" s="30"/>
      <c r="H233" s="24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</row>
    <row r="234" spans="2:54" ht="15" customHeight="1" x14ac:dyDescent="0.45">
      <c r="B234" s="39" t="s">
        <v>155</v>
      </c>
      <c r="C234" s="29"/>
      <c r="D234" s="19" t="str">
        <f>IF('TECHNOLOGY REGISTER'!D31="","",'TECHNOLOGY REGISTER'!D31)</f>
        <v/>
      </c>
      <c r="E234" s="29"/>
      <c r="F234" s="41"/>
      <c r="G234" s="29"/>
      <c r="H234" s="32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</row>
    <row r="235" spans="2:54" ht="15" customHeight="1" x14ac:dyDescent="0.45">
      <c r="B235" s="40" t="s">
        <v>155</v>
      </c>
      <c r="C235" s="30"/>
      <c r="D235" s="17" t="str">
        <f>IF('TECHNOLOGY REGISTER'!D32="","",'TECHNOLOGY REGISTER'!D32)</f>
        <v/>
      </c>
      <c r="E235" s="30"/>
      <c r="F235" s="42"/>
      <c r="G235" s="30"/>
      <c r="H235" s="24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</row>
    <row r="236" spans="2:54" ht="15" customHeight="1" x14ac:dyDescent="0.45">
      <c r="B236" s="39" t="s">
        <v>155</v>
      </c>
      <c r="C236" s="29"/>
      <c r="D236" s="19" t="str">
        <f>IF('TECHNOLOGY REGISTER'!D33="","",'TECHNOLOGY REGISTER'!D33)</f>
        <v/>
      </c>
      <c r="E236" s="29"/>
      <c r="F236" s="41"/>
      <c r="G236" s="29"/>
      <c r="H236" s="32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</row>
    <row r="237" spans="2:54" ht="15" customHeight="1" x14ac:dyDescent="0.45">
      <c r="B237" s="40" t="s">
        <v>155</v>
      </c>
      <c r="C237" s="30"/>
      <c r="D237" s="17" t="str">
        <f>IF('TECHNOLOGY REGISTER'!D34="","",'TECHNOLOGY REGISTER'!D34)</f>
        <v/>
      </c>
      <c r="E237" s="30"/>
      <c r="F237" s="42"/>
      <c r="G237" s="30"/>
      <c r="H237" s="24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</row>
    <row r="238" spans="2:54" ht="15" customHeight="1" x14ac:dyDescent="0.45">
      <c r="B238" s="39" t="s">
        <v>155</v>
      </c>
      <c r="C238" s="29"/>
      <c r="D238" s="19" t="str">
        <f>IF('TECHNOLOGY REGISTER'!D35="","",'TECHNOLOGY REGISTER'!D35)</f>
        <v/>
      </c>
      <c r="E238" s="29"/>
      <c r="F238" s="41"/>
      <c r="G238" s="29"/>
      <c r="H238" s="32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</row>
    <row r="239" spans="2:54" ht="15" customHeight="1" x14ac:dyDescent="0.45">
      <c r="B239" s="40" t="s">
        <v>155</v>
      </c>
      <c r="C239" s="30"/>
      <c r="D239" s="17" t="str">
        <f>IF('TECHNOLOGY REGISTER'!D36="","",'TECHNOLOGY REGISTER'!D36)</f>
        <v/>
      </c>
      <c r="E239" s="30"/>
      <c r="F239" s="42"/>
      <c r="G239" s="30"/>
      <c r="H239" s="24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</row>
    <row r="240" spans="2:54" ht="15" customHeight="1" x14ac:dyDescent="0.45">
      <c r="B240" s="39" t="s">
        <v>155</v>
      </c>
      <c r="C240" s="29"/>
      <c r="D240" s="19" t="str">
        <f>IF('TECHNOLOGY REGISTER'!D37="","",'TECHNOLOGY REGISTER'!D37)</f>
        <v/>
      </c>
      <c r="E240" s="29"/>
      <c r="F240" s="41"/>
      <c r="G240" s="29"/>
      <c r="H240" s="32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</row>
    <row r="241" spans="2:54" ht="15" customHeight="1" x14ac:dyDescent="0.45">
      <c r="B241" s="40" t="s">
        <v>155</v>
      </c>
      <c r="C241" s="30"/>
      <c r="D241" s="17" t="str">
        <f>IF('TECHNOLOGY REGISTER'!D38="","",'TECHNOLOGY REGISTER'!D38)</f>
        <v/>
      </c>
      <c r="E241" s="30"/>
      <c r="F241" s="42"/>
      <c r="G241" s="30"/>
      <c r="H241" s="24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</row>
    <row r="242" spans="2:54" ht="15" customHeight="1" x14ac:dyDescent="0.45">
      <c r="B242" s="39" t="s">
        <v>155</v>
      </c>
      <c r="C242" s="29"/>
      <c r="D242" s="19" t="str">
        <f>IF('TECHNOLOGY REGISTER'!D39="","",'TECHNOLOGY REGISTER'!D39)</f>
        <v/>
      </c>
      <c r="E242" s="29"/>
      <c r="F242" s="41"/>
      <c r="G242" s="29"/>
      <c r="H242" s="32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</row>
    <row r="243" spans="2:54" ht="15" customHeight="1" x14ac:dyDescent="0.45">
      <c r="B243" s="40" t="s">
        <v>155</v>
      </c>
      <c r="C243" s="30"/>
      <c r="D243" s="17" t="str">
        <f>IF('TECHNOLOGY REGISTER'!D40="","",'TECHNOLOGY REGISTER'!D40)</f>
        <v/>
      </c>
      <c r="E243" s="30"/>
      <c r="F243" s="42"/>
      <c r="G243" s="30"/>
      <c r="H243" s="24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</row>
    <row r="244" spans="2:54" ht="15" customHeight="1" x14ac:dyDescent="0.45">
      <c r="B244" s="39" t="s">
        <v>155</v>
      </c>
      <c r="C244" s="29"/>
      <c r="D244" s="19" t="str">
        <f>IF('TECHNOLOGY REGISTER'!D41="","",'TECHNOLOGY REGISTER'!D41)</f>
        <v/>
      </c>
      <c r="E244" s="29"/>
      <c r="F244" s="41"/>
      <c r="G244" s="29"/>
      <c r="H244" s="32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</row>
    <row r="245" spans="2:54" ht="15" customHeight="1" x14ac:dyDescent="0.45">
      <c r="B245" s="40" t="s">
        <v>155</v>
      </c>
      <c r="C245" s="30"/>
      <c r="D245" s="17" t="str">
        <f>IF('TECHNOLOGY REGISTER'!D42="","",'TECHNOLOGY REGISTER'!D42)</f>
        <v/>
      </c>
      <c r="E245" s="30"/>
      <c r="F245" s="42"/>
      <c r="G245" s="30"/>
      <c r="H245" s="24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</row>
    <row r="246" spans="2:54" ht="15" customHeight="1" x14ac:dyDescent="0.45">
      <c r="B246" s="39" t="s">
        <v>155</v>
      </c>
      <c r="C246" s="29"/>
      <c r="D246" s="19" t="str">
        <f>IF('TECHNOLOGY REGISTER'!D43="","",'TECHNOLOGY REGISTER'!D43)</f>
        <v/>
      </c>
      <c r="E246" s="29"/>
      <c r="F246" s="41"/>
      <c r="G246" s="29"/>
      <c r="H246" s="32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</row>
    <row r="247" spans="2:54" ht="15" customHeight="1" x14ac:dyDescent="0.45">
      <c r="B247" s="40" t="s">
        <v>155</v>
      </c>
      <c r="C247" s="30"/>
      <c r="D247" s="17" t="str">
        <f>IF('TECHNOLOGY REGISTER'!D44="","",'TECHNOLOGY REGISTER'!D44)</f>
        <v/>
      </c>
      <c r="E247" s="30"/>
      <c r="F247" s="42"/>
      <c r="G247" s="30"/>
      <c r="H247" s="24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</row>
    <row r="248" spans="2:54" ht="15" customHeight="1" x14ac:dyDescent="0.45">
      <c r="B248" s="39" t="s">
        <v>155</v>
      </c>
      <c r="C248" s="29"/>
      <c r="D248" s="19" t="str">
        <f>IF('TECHNOLOGY REGISTER'!D45="","",'TECHNOLOGY REGISTER'!D45)</f>
        <v/>
      </c>
      <c r="E248" s="29"/>
      <c r="F248" s="41"/>
      <c r="G248" s="29"/>
      <c r="H248" s="32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</row>
    <row r="249" spans="2:54" ht="15" customHeight="1" x14ac:dyDescent="0.45">
      <c r="B249" s="40" t="s">
        <v>155</v>
      </c>
      <c r="C249" s="30"/>
      <c r="D249" s="17" t="str">
        <f>IF('TECHNOLOGY REGISTER'!D46="","",'TECHNOLOGY REGISTER'!D46)</f>
        <v/>
      </c>
      <c r="E249" s="30"/>
      <c r="F249" s="42"/>
      <c r="G249" s="30"/>
      <c r="H249" s="24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</row>
    <row r="250" spans="2:54" ht="15" customHeight="1" x14ac:dyDescent="0.45">
      <c r="B250" s="39" t="s">
        <v>155</v>
      </c>
      <c r="C250" s="29"/>
      <c r="D250" s="19" t="str">
        <f>IF('TECHNOLOGY REGISTER'!D47="","",'TECHNOLOGY REGISTER'!D47)</f>
        <v/>
      </c>
      <c r="E250" s="29"/>
      <c r="F250" s="41"/>
      <c r="G250" s="29"/>
      <c r="H250" s="32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</row>
    <row r="251" spans="2:54" ht="15" customHeight="1" x14ac:dyDescent="0.45">
      <c r="B251" s="40" t="s">
        <v>155</v>
      </c>
      <c r="C251" s="30"/>
      <c r="D251" s="17" t="str">
        <f>IF('TECHNOLOGY REGISTER'!D48="","",'TECHNOLOGY REGISTER'!D48)</f>
        <v/>
      </c>
      <c r="E251" s="30"/>
      <c r="F251" s="42"/>
      <c r="G251" s="30"/>
      <c r="H251" s="24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</row>
    <row r="252" spans="2:54" ht="15" customHeight="1" x14ac:dyDescent="0.45">
      <c r="B252" s="39" t="s">
        <v>155</v>
      </c>
      <c r="C252" s="29"/>
      <c r="D252" s="19" t="str">
        <f>IF('TECHNOLOGY REGISTER'!D49="","",'TECHNOLOGY REGISTER'!D49)</f>
        <v/>
      </c>
      <c r="E252" s="29"/>
      <c r="F252" s="41"/>
      <c r="G252" s="29"/>
      <c r="H252" s="32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</row>
    <row r="253" spans="2:54" ht="15" customHeight="1" x14ac:dyDescent="0.45">
      <c r="B253" s="40" t="s">
        <v>155</v>
      </c>
      <c r="C253" s="30"/>
      <c r="D253" s="17" t="str">
        <f>IF('TECHNOLOGY REGISTER'!D50="","",'TECHNOLOGY REGISTER'!D50)</f>
        <v/>
      </c>
      <c r="E253" s="30"/>
      <c r="F253" s="42"/>
      <c r="G253" s="30"/>
      <c r="H253" s="24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</row>
    <row r="254" spans="2:54" ht="15" customHeight="1" x14ac:dyDescent="0.45">
      <c r="B254" s="39" t="s">
        <v>155</v>
      </c>
      <c r="C254" s="29"/>
      <c r="D254" s="19" t="str">
        <f>IF('TECHNOLOGY REGISTER'!D51="","",'TECHNOLOGY REGISTER'!D51)</f>
        <v/>
      </c>
      <c r="E254" s="29"/>
      <c r="F254" s="41"/>
      <c r="G254" s="29"/>
      <c r="H254" s="32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</row>
    <row r="255" spans="2:54" ht="15" customHeight="1" x14ac:dyDescent="0.45">
      <c r="B255" s="40" t="s">
        <v>155</v>
      </c>
      <c r="C255" s="30"/>
      <c r="D255" s="17" t="str">
        <f>IF('TECHNOLOGY REGISTER'!D52="","",'TECHNOLOGY REGISTER'!D52)</f>
        <v/>
      </c>
      <c r="E255" s="30"/>
      <c r="F255" s="42"/>
      <c r="G255" s="30"/>
      <c r="H255" s="24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</row>
    <row r="256" spans="2:54" ht="15" customHeight="1" x14ac:dyDescent="0.45">
      <c r="B256" s="39" t="s">
        <v>155</v>
      </c>
      <c r="C256" s="29"/>
      <c r="D256" s="19" t="str">
        <f>IF('TECHNOLOGY REGISTER'!D53="","",'TECHNOLOGY REGISTER'!D53)</f>
        <v/>
      </c>
      <c r="E256" s="29"/>
      <c r="F256" s="41"/>
      <c r="G256" s="29"/>
      <c r="H256" s="32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</row>
    <row r="257" spans="2:54" ht="15" customHeight="1" x14ac:dyDescent="0.45">
      <c r="B257" s="40" t="s">
        <v>155</v>
      </c>
      <c r="C257" s="30"/>
      <c r="D257" s="17" t="str">
        <f>IF('TECHNOLOGY REGISTER'!D54="","",'TECHNOLOGY REGISTER'!D54)</f>
        <v/>
      </c>
      <c r="E257" s="30"/>
      <c r="F257" s="42"/>
      <c r="G257" s="30"/>
      <c r="H257" s="24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</row>
    <row r="258" spans="2:54" ht="15" customHeight="1" x14ac:dyDescent="0.45">
      <c r="B258" s="39" t="s">
        <v>155</v>
      </c>
      <c r="C258" s="29"/>
      <c r="D258" s="19" t="str">
        <f>IF('TECHNOLOGY REGISTER'!D55="","",'TECHNOLOGY REGISTER'!D55)</f>
        <v/>
      </c>
      <c r="E258" s="29"/>
      <c r="F258" s="41"/>
      <c r="G258" s="29"/>
      <c r="H258" s="32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</row>
    <row r="259" spans="2:54" ht="15" customHeight="1" thickBot="1" x14ac:dyDescent="0.5">
      <c r="B259" s="40" t="s">
        <v>155</v>
      </c>
      <c r="C259" s="30"/>
      <c r="D259" s="17" t="str">
        <f>IF('TECHNOLOGY REGISTER'!D56="","",'TECHNOLOGY REGISTER'!D56)</f>
        <v/>
      </c>
      <c r="E259" s="30"/>
      <c r="F259" s="42"/>
      <c r="G259" s="30"/>
      <c r="H259" s="24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</row>
    <row r="260" spans="2:54" customFormat="1" ht="20" customHeight="1" x14ac:dyDescent="0.5">
      <c r="B260" s="69" t="s">
        <v>162</v>
      </c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</row>
    <row r="261" spans="2:54" ht="17" customHeight="1" x14ac:dyDescent="0.45">
      <c r="B261" s="39" t="s">
        <v>161</v>
      </c>
      <c r="C261" s="29" t="s">
        <v>5</v>
      </c>
      <c r="D261" s="19" t="str">
        <f>IF('TECHNOLOGY REGISTER'!D7="","",'TECHNOLOGY REGISTER'!D7)</f>
        <v>Biomass</v>
      </c>
      <c r="E261" s="29" t="s">
        <v>53</v>
      </c>
      <c r="F261" s="41">
        <v>1</v>
      </c>
      <c r="G261" s="29" t="s">
        <v>29</v>
      </c>
      <c r="H261" s="32" t="str">
        <f>IF(E261="","",E261&amp;"/kWh")</f>
        <v>KES/kWh</v>
      </c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</row>
    <row r="262" spans="2:54" ht="17" customHeight="1" x14ac:dyDescent="0.45">
      <c r="B262" s="40" t="s">
        <v>161</v>
      </c>
      <c r="C262" s="30" t="s">
        <v>5</v>
      </c>
      <c r="D262" s="17" t="str">
        <f>IF('TECHNOLOGY REGISTER'!D8="","",'TECHNOLOGY REGISTER'!D8)</f>
        <v>Geothermal</v>
      </c>
      <c r="E262" s="30" t="s">
        <v>53</v>
      </c>
      <c r="F262" s="42">
        <v>1</v>
      </c>
      <c r="G262" s="30" t="s">
        <v>29</v>
      </c>
      <c r="H262" s="24" t="str">
        <f t="shared" ref="H262:H310" si="0">IF(E262="","",E262&amp;"/kWh")</f>
        <v>KES/kWh</v>
      </c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</row>
    <row r="263" spans="2:54" ht="17" customHeight="1" x14ac:dyDescent="0.45">
      <c r="B263" s="39" t="s">
        <v>161</v>
      </c>
      <c r="C263" s="29" t="s">
        <v>5</v>
      </c>
      <c r="D263" s="19" t="str">
        <f>IF('TECHNOLOGY REGISTER'!D9="","",'TECHNOLOGY REGISTER'!D9)</f>
        <v>Solar PV</v>
      </c>
      <c r="E263" s="29" t="s">
        <v>53</v>
      </c>
      <c r="F263" s="41">
        <v>1</v>
      </c>
      <c r="G263" s="29" t="s">
        <v>29</v>
      </c>
      <c r="H263" s="32" t="str">
        <f t="shared" si="0"/>
        <v>KES/kWh</v>
      </c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</row>
    <row r="264" spans="2:54" ht="17" customHeight="1" x14ac:dyDescent="0.45">
      <c r="B264" s="40" t="s">
        <v>161</v>
      </c>
      <c r="C264" s="30" t="s">
        <v>5</v>
      </c>
      <c r="D264" s="17" t="str">
        <f>IF('TECHNOLOGY REGISTER'!D10="","",'TECHNOLOGY REGISTER'!D10)</f>
        <v>CSP</v>
      </c>
      <c r="E264" s="30" t="s">
        <v>53</v>
      </c>
      <c r="F264" s="42">
        <v>1</v>
      </c>
      <c r="G264" s="30" t="s">
        <v>29</v>
      </c>
      <c r="H264" s="24" t="str">
        <f t="shared" si="0"/>
        <v>KES/kWh</v>
      </c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</row>
    <row r="265" spans="2:54" ht="17" customHeight="1" x14ac:dyDescent="0.45">
      <c r="B265" s="39" t="s">
        <v>161</v>
      </c>
      <c r="C265" s="29" t="s">
        <v>5</v>
      </c>
      <c r="D265" s="19" t="str">
        <f>IF('TECHNOLOGY REGISTER'!D11="","",'TECHNOLOGY REGISTER'!D11)</f>
        <v>Hydropower</v>
      </c>
      <c r="E265" s="29" t="s">
        <v>53</v>
      </c>
      <c r="F265" s="41">
        <v>1</v>
      </c>
      <c r="G265" s="29" t="s">
        <v>29</v>
      </c>
      <c r="H265" s="32" t="str">
        <f t="shared" si="0"/>
        <v>KES/kWh</v>
      </c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</row>
    <row r="266" spans="2:54" ht="17" customHeight="1" x14ac:dyDescent="0.45">
      <c r="B266" s="40" t="s">
        <v>161</v>
      </c>
      <c r="C266" s="30" t="s">
        <v>5</v>
      </c>
      <c r="D266" s="17" t="str">
        <f>IF('TECHNOLOGY REGISTER'!D12="","",'TECHNOLOGY REGISTER'!D12)</f>
        <v>Nuclear</v>
      </c>
      <c r="E266" s="30" t="s">
        <v>53</v>
      </c>
      <c r="F266" s="42">
        <v>1</v>
      </c>
      <c r="G266" s="30" t="s">
        <v>29</v>
      </c>
      <c r="H266" s="24" t="str">
        <f t="shared" si="0"/>
        <v>KES/kWh</v>
      </c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</row>
    <row r="267" spans="2:54" ht="17" customHeight="1" x14ac:dyDescent="0.45">
      <c r="B267" s="39" t="s">
        <v>161</v>
      </c>
      <c r="C267" s="29" t="s">
        <v>5</v>
      </c>
      <c r="D267" s="19" t="str">
        <f>IF('TECHNOLOGY REGISTER'!D13="","",'TECHNOLOGY REGISTER'!D13)</f>
        <v>Wind</v>
      </c>
      <c r="E267" s="29" t="s">
        <v>53</v>
      </c>
      <c r="F267" s="41">
        <v>1</v>
      </c>
      <c r="G267" s="29" t="s">
        <v>29</v>
      </c>
      <c r="H267" s="32" t="str">
        <f t="shared" si="0"/>
        <v>KES/kWh</v>
      </c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</row>
    <row r="268" spans="2:54" ht="17" customHeight="1" x14ac:dyDescent="0.45">
      <c r="B268" s="40" t="s">
        <v>161</v>
      </c>
      <c r="C268" s="30" t="s">
        <v>5</v>
      </c>
      <c r="D268" s="17" t="str">
        <f>IF('TECHNOLOGY REGISTER'!D14="","",'TECHNOLOGY REGISTER'!D14)</f>
        <v>Coal</v>
      </c>
      <c r="E268" s="30" t="s">
        <v>53</v>
      </c>
      <c r="F268" s="42">
        <v>1</v>
      </c>
      <c r="G268" s="30" t="s">
        <v>29</v>
      </c>
      <c r="H268" s="24" t="str">
        <f t="shared" si="0"/>
        <v>KES/kWh</v>
      </c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</row>
    <row r="269" spans="2:54" ht="17" customHeight="1" x14ac:dyDescent="0.45">
      <c r="B269" s="39" t="s">
        <v>161</v>
      </c>
      <c r="C269" s="29" t="s">
        <v>5</v>
      </c>
      <c r="D269" s="19" t="str">
        <f>IF('TECHNOLOGY REGISTER'!D15="","",'TECHNOLOGY REGISTER'!D15)</f>
        <v>Oil</v>
      </c>
      <c r="E269" s="29" t="s">
        <v>53</v>
      </c>
      <c r="F269" s="41">
        <v>1</v>
      </c>
      <c r="G269" s="29" t="s">
        <v>13</v>
      </c>
      <c r="H269" s="32" t="str">
        <f t="shared" si="0"/>
        <v>KES/kWh</v>
      </c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</row>
    <row r="270" spans="2:54" ht="17" customHeight="1" x14ac:dyDescent="0.45">
      <c r="B270" s="40" t="s">
        <v>161</v>
      </c>
      <c r="C270" s="30" t="s">
        <v>5</v>
      </c>
      <c r="D270" s="17" t="str">
        <f>IF('TECHNOLOGY REGISTER'!D16="","",'TECHNOLOGY REGISTER'!D16)</f>
        <v>Gas</v>
      </c>
      <c r="E270" s="30" t="s">
        <v>53</v>
      </c>
      <c r="F270" s="42" t="s">
        <v>69</v>
      </c>
      <c r="G270" s="30" t="s">
        <v>156</v>
      </c>
      <c r="H270" s="24" t="str">
        <f t="shared" si="0"/>
        <v>KES/kWh</v>
      </c>
      <c r="I270" s="37">
        <v>14.386642199999999</v>
      </c>
      <c r="J270" s="37">
        <v>14.386642199999999</v>
      </c>
      <c r="K270" s="37">
        <v>14.386642199999999</v>
      </c>
      <c r="L270" s="37">
        <v>14.386642199999999</v>
      </c>
      <c r="M270" s="37">
        <v>14.386642199999999</v>
      </c>
      <c r="N270" s="37">
        <v>14.386642199999999</v>
      </c>
      <c r="O270" s="37">
        <v>14.386642199999999</v>
      </c>
      <c r="P270" s="37">
        <v>14.386642199999999</v>
      </c>
      <c r="Q270" s="37">
        <v>14.386642199999999</v>
      </c>
      <c r="R270" s="37">
        <v>14.386642199999999</v>
      </c>
      <c r="S270" s="37">
        <v>14.386642199999999</v>
      </c>
      <c r="T270" s="37">
        <v>14.386642199999999</v>
      </c>
      <c r="U270" s="37">
        <v>14.386642199999999</v>
      </c>
      <c r="V270" s="37">
        <v>14.386642199999999</v>
      </c>
      <c r="W270" s="37">
        <v>14.386642199999999</v>
      </c>
      <c r="X270" s="37">
        <v>14.386642199999999</v>
      </c>
      <c r="Y270" s="37">
        <v>14.386642199999999</v>
      </c>
      <c r="Z270" s="37">
        <v>14.386642199999999</v>
      </c>
      <c r="AA270" s="37">
        <v>14.386642199999999</v>
      </c>
      <c r="AB270" s="37">
        <v>14.386642199999999</v>
      </c>
      <c r="AC270" s="37">
        <v>14.386642199999999</v>
      </c>
      <c r="AD270" s="37">
        <v>14.386642199999999</v>
      </c>
      <c r="AE270" s="37">
        <v>14.386642199999999</v>
      </c>
      <c r="AF270" s="37">
        <v>14.386642199999999</v>
      </c>
      <c r="AG270" s="37">
        <v>14.386642199999999</v>
      </c>
      <c r="AH270" s="37">
        <v>14.386642199999999</v>
      </c>
      <c r="AI270" s="37">
        <v>14.386642199999999</v>
      </c>
      <c r="AJ270" s="37">
        <v>14.386642199999999</v>
      </c>
      <c r="AK270" s="37">
        <v>14.386642199999999</v>
      </c>
      <c r="AL270" s="37">
        <v>14.386642199999999</v>
      </c>
      <c r="AM270" s="37">
        <v>14.386642199999999</v>
      </c>
      <c r="AN270" s="37">
        <v>14.386642199999999</v>
      </c>
      <c r="AO270" s="37">
        <v>14.386642199999999</v>
      </c>
      <c r="AP270" s="37">
        <v>14.386642199999999</v>
      </c>
      <c r="AQ270" s="37">
        <v>14.386642199999999</v>
      </c>
      <c r="AR270" s="37">
        <v>14.386642199999999</v>
      </c>
      <c r="AS270" s="37">
        <v>14.386642199999999</v>
      </c>
      <c r="AT270" s="37">
        <v>14.386642199999999</v>
      </c>
      <c r="AU270" s="37">
        <v>14.386642199999999</v>
      </c>
      <c r="AV270" s="37">
        <v>14.386642199999999</v>
      </c>
      <c r="AW270" s="37">
        <v>14.386642199999999</v>
      </c>
      <c r="AX270" s="37">
        <v>14.386642199999999</v>
      </c>
      <c r="AY270" s="37">
        <v>14.386642199999999</v>
      </c>
      <c r="AZ270" s="37">
        <v>14.386642199999999</v>
      </c>
      <c r="BA270" s="37">
        <v>14.386642199999999</v>
      </c>
      <c r="BB270" s="37">
        <v>14.386642199999999</v>
      </c>
    </row>
    <row r="271" spans="2:54" ht="17" customHeight="1" x14ac:dyDescent="0.45">
      <c r="B271" s="39" t="s">
        <v>161</v>
      </c>
      <c r="C271" s="29" t="s">
        <v>5</v>
      </c>
      <c r="D271" s="19" t="str">
        <f>IF('TECHNOLOGY REGISTER'!D17="","",'TECHNOLOGY REGISTER'!D17)</f>
        <v>Transmission</v>
      </c>
      <c r="E271" s="29" t="s">
        <v>53</v>
      </c>
      <c r="F271" s="41">
        <v>1</v>
      </c>
      <c r="G271" s="29" t="s">
        <v>29</v>
      </c>
      <c r="H271" s="32" t="str">
        <f t="shared" si="0"/>
        <v>KES/kWh</v>
      </c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</row>
    <row r="272" spans="2:54" ht="17" customHeight="1" x14ac:dyDescent="0.45">
      <c r="B272" s="40" t="s">
        <v>161</v>
      </c>
      <c r="C272" s="30" t="s">
        <v>5</v>
      </c>
      <c r="D272" s="17" t="str">
        <f>IF('TECHNOLOGY REGISTER'!D18="","",'TECHNOLOGY REGISTER'!D18)</f>
        <v>Distribution</v>
      </c>
      <c r="E272" s="30" t="s">
        <v>53</v>
      </c>
      <c r="F272" s="42">
        <v>1</v>
      </c>
      <c r="G272" s="30" t="s">
        <v>29</v>
      </c>
      <c r="H272" s="24" t="str">
        <f t="shared" si="0"/>
        <v>KES/kWh</v>
      </c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</row>
    <row r="273" spans="2:54" ht="17" customHeight="1" x14ac:dyDescent="0.45">
      <c r="B273" s="39" t="s">
        <v>161</v>
      </c>
      <c r="C273" s="29"/>
      <c r="D273" s="19" t="str">
        <f>IF('TECHNOLOGY REGISTER'!D19="","",'TECHNOLOGY REGISTER'!D19)</f>
        <v>Imports</v>
      </c>
      <c r="E273" s="29"/>
      <c r="F273" s="41"/>
      <c r="G273" s="29"/>
      <c r="H273" s="32" t="str">
        <f t="shared" si="0"/>
        <v/>
      </c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</row>
    <row r="274" spans="2:54" ht="17" customHeight="1" x14ac:dyDescent="0.45">
      <c r="B274" s="40" t="s">
        <v>161</v>
      </c>
      <c r="C274" s="30"/>
      <c r="D274" s="17" t="str">
        <f>IF('TECHNOLOGY REGISTER'!D20="","",'TECHNOLOGY REGISTER'!D20)</f>
        <v>Energy Exports</v>
      </c>
      <c r="E274" s="30"/>
      <c r="F274" s="42"/>
      <c r="G274" s="30"/>
      <c r="H274" s="24" t="str">
        <f t="shared" si="0"/>
        <v/>
      </c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</row>
    <row r="275" spans="2:54" ht="17" customHeight="1" x14ac:dyDescent="0.45">
      <c r="B275" s="39" t="s">
        <v>161</v>
      </c>
      <c r="C275" s="29"/>
      <c r="D275" s="19" t="str">
        <f>IF('TECHNOLOGY REGISTER'!D21="","",'TECHNOLOGY REGISTER'!D21)</f>
        <v>Direct Solar</v>
      </c>
      <c r="E275" s="29"/>
      <c r="F275" s="41"/>
      <c r="G275" s="29"/>
      <c r="H275" s="32" t="str">
        <f t="shared" si="0"/>
        <v/>
      </c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</row>
    <row r="276" spans="2:54" ht="15" customHeight="1" x14ac:dyDescent="0.45">
      <c r="B276" s="40" t="s">
        <v>161</v>
      </c>
      <c r="C276" s="30"/>
      <c r="D276" s="17" t="str">
        <f>IF('TECHNOLOGY REGISTER'!D22="","",'TECHNOLOGY REGISTER'!D22)</f>
        <v>Direct Oil</v>
      </c>
      <c r="E276" s="30"/>
      <c r="F276" s="42"/>
      <c r="G276" s="30"/>
      <c r="H276" s="24" t="str">
        <f t="shared" si="0"/>
        <v/>
      </c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</row>
    <row r="277" spans="2:54" ht="15" customHeight="1" x14ac:dyDescent="0.45">
      <c r="B277" s="39" t="s">
        <v>161</v>
      </c>
      <c r="C277" s="29"/>
      <c r="D277" s="19" t="str">
        <f>IF('TECHNOLOGY REGISTER'!D23="","",'TECHNOLOGY REGISTER'!D23)</f>
        <v>Direct Hydro</v>
      </c>
      <c r="E277" s="29"/>
      <c r="F277" s="41"/>
      <c r="G277" s="29"/>
      <c r="H277" s="32" t="str">
        <f t="shared" si="0"/>
        <v/>
      </c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</row>
    <row r="278" spans="2:54" ht="15" customHeight="1" x14ac:dyDescent="0.45">
      <c r="B278" s="40" t="s">
        <v>161</v>
      </c>
      <c r="C278" s="30"/>
      <c r="D278" s="17" t="str">
        <f>IF('TECHNOLOGY REGISTER'!D24="","",'TECHNOLOGY REGISTER'!D24)</f>
        <v/>
      </c>
      <c r="E278" s="30"/>
      <c r="F278" s="42"/>
      <c r="G278" s="30"/>
      <c r="H278" s="24" t="str">
        <f t="shared" si="0"/>
        <v/>
      </c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</row>
    <row r="279" spans="2:54" ht="15" customHeight="1" x14ac:dyDescent="0.45">
      <c r="B279" s="39" t="s">
        <v>161</v>
      </c>
      <c r="C279" s="29"/>
      <c r="D279" s="19" t="str">
        <f>IF('TECHNOLOGY REGISTER'!D25="","",'TECHNOLOGY REGISTER'!D25)</f>
        <v/>
      </c>
      <c r="E279" s="29"/>
      <c r="F279" s="41"/>
      <c r="G279" s="29"/>
      <c r="H279" s="32" t="str">
        <f t="shared" si="0"/>
        <v/>
      </c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</row>
    <row r="280" spans="2:54" ht="15" customHeight="1" x14ac:dyDescent="0.45">
      <c r="B280" s="40" t="s">
        <v>161</v>
      </c>
      <c r="C280" s="30"/>
      <c r="D280" s="17" t="str">
        <f>IF('TECHNOLOGY REGISTER'!D26="","",'TECHNOLOGY REGISTER'!D26)</f>
        <v/>
      </c>
      <c r="E280" s="30"/>
      <c r="F280" s="42"/>
      <c r="G280" s="30"/>
      <c r="H280" s="24" t="str">
        <f t="shared" si="0"/>
        <v/>
      </c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</row>
    <row r="281" spans="2:54" ht="15" customHeight="1" x14ac:dyDescent="0.45">
      <c r="B281" s="39" t="s">
        <v>161</v>
      </c>
      <c r="C281" s="29"/>
      <c r="D281" s="19" t="str">
        <f>IF('TECHNOLOGY REGISTER'!D27="","",'TECHNOLOGY REGISTER'!D27)</f>
        <v/>
      </c>
      <c r="E281" s="29"/>
      <c r="F281" s="41"/>
      <c r="G281" s="29"/>
      <c r="H281" s="32" t="str">
        <f t="shared" si="0"/>
        <v/>
      </c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</row>
    <row r="282" spans="2:54" ht="15" customHeight="1" x14ac:dyDescent="0.45">
      <c r="B282" s="40" t="s">
        <v>161</v>
      </c>
      <c r="C282" s="30"/>
      <c r="D282" s="17" t="str">
        <f>IF('TECHNOLOGY REGISTER'!D28="","",'TECHNOLOGY REGISTER'!D28)</f>
        <v/>
      </c>
      <c r="E282" s="30"/>
      <c r="F282" s="42"/>
      <c r="G282" s="30"/>
      <c r="H282" s="24" t="str">
        <f t="shared" si="0"/>
        <v/>
      </c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</row>
    <row r="283" spans="2:54" ht="15" customHeight="1" x14ac:dyDescent="0.45">
      <c r="B283" s="39" t="s">
        <v>161</v>
      </c>
      <c r="C283" s="29"/>
      <c r="D283" s="19" t="str">
        <f>IF('TECHNOLOGY REGISTER'!D29="","",'TECHNOLOGY REGISTER'!D29)</f>
        <v/>
      </c>
      <c r="E283" s="29"/>
      <c r="F283" s="41"/>
      <c r="G283" s="29"/>
      <c r="H283" s="32" t="str">
        <f t="shared" si="0"/>
        <v/>
      </c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</row>
    <row r="284" spans="2:54" ht="15" customHeight="1" x14ac:dyDescent="0.45">
      <c r="B284" s="40" t="s">
        <v>161</v>
      </c>
      <c r="C284" s="30"/>
      <c r="D284" s="17" t="str">
        <f>IF('TECHNOLOGY REGISTER'!D30="","",'TECHNOLOGY REGISTER'!D30)</f>
        <v/>
      </c>
      <c r="E284" s="30"/>
      <c r="F284" s="42"/>
      <c r="G284" s="30"/>
      <c r="H284" s="24" t="str">
        <f t="shared" si="0"/>
        <v/>
      </c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</row>
    <row r="285" spans="2:54" ht="15" customHeight="1" x14ac:dyDescent="0.45">
      <c r="B285" s="39" t="s">
        <v>161</v>
      </c>
      <c r="C285" s="29"/>
      <c r="D285" s="19" t="str">
        <f>IF('TECHNOLOGY REGISTER'!D31="","",'TECHNOLOGY REGISTER'!D31)</f>
        <v/>
      </c>
      <c r="E285" s="29"/>
      <c r="F285" s="41"/>
      <c r="G285" s="29"/>
      <c r="H285" s="32" t="str">
        <f t="shared" si="0"/>
        <v/>
      </c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</row>
    <row r="286" spans="2:54" ht="15" customHeight="1" x14ac:dyDescent="0.45">
      <c r="B286" s="40" t="s">
        <v>161</v>
      </c>
      <c r="C286" s="30"/>
      <c r="D286" s="17" t="str">
        <f>IF('TECHNOLOGY REGISTER'!D32="","",'TECHNOLOGY REGISTER'!D32)</f>
        <v/>
      </c>
      <c r="E286" s="30"/>
      <c r="F286" s="42"/>
      <c r="G286" s="30"/>
      <c r="H286" s="24" t="str">
        <f t="shared" si="0"/>
        <v/>
      </c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</row>
    <row r="287" spans="2:54" ht="15" customHeight="1" x14ac:dyDescent="0.45">
      <c r="B287" s="39" t="s">
        <v>161</v>
      </c>
      <c r="C287" s="29"/>
      <c r="D287" s="19" t="str">
        <f>IF('TECHNOLOGY REGISTER'!D33="","",'TECHNOLOGY REGISTER'!D33)</f>
        <v/>
      </c>
      <c r="E287" s="29"/>
      <c r="F287" s="41"/>
      <c r="G287" s="29"/>
      <c r="H287" s="32" t="str">
        <f t="shared" si="0"/>
        <v/>
      </c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</row>
    <row r="288" spans="2:54" ht="15" customHeight="1" x14ac:dyDescent="0.45">
      <c r="B288" s="40" t="s">
        <v>161</v>
      </c>
      <c r="C288" s="30"/>
      <c r="D288" s="17" t="str">
        <f>IF('TECHNOLOGY REGISTER'!D34="","",'TECHNOLOGY REGISTER'!D34)</f>
        <v/>
      </c>
      <c r="E288" s="30"/>
      <c r="F288" s="42"/>
      <c r="G288" s="30"/>
      <c r="H288" s="24" t="str">
        <f t="shared" si="0"/>
        <v/>
      </c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</row>
    <row r="289" spans="2:54" ht="15" customHeight="1" x14ac:dyDescent="0.45">
      <c r="B289" s="39" t="s">
        <v>161</v>
      </c>
      <c r="C289" s="29"/>
      <c r="D289" s="19" t="str">
        <f>IF('TECHNOLOGY REGISTER'!D35="","",'TECHNOLOGY REGISTER'!D35)</f>
        <v/>
      </c>
      <c r="E289" s="29"/>
      <c r="F289" s="41"/>
      <c r="G289" s="29"/>
      <c r="H289" s="32" t="str">
        <f t="shared" si="0"/>
        <v/>
      </c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</row>
    <row r="290" spans="2:54" ht="15" customHeight="1" x14ac:dyDescent="0.45">
      <c r="B290" s="40" t="s">
        <v>161</v>
      </c>
      <c r="C290" s="30"/>
      <c r="D290" s="17" t="str">
        <f>IF('TECHNOLOGY REGISTER'!D36="","",'TECHNOLOGY REGISTER'!D36)</f>
        <v/>
      </c>
      <c r="E290" s="30"/>
      <c r="F290" s="42"/>
      <c r="G290" s="30"/>
      <c r="H290" s="24" t="str">
        <f t="shared" si="0"/>
        <v/>
      </c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</row>
    <row r="291" spans="2:54" ht="15" customHeight="1" x14ac:dyDescent="0.45">
      <c r="B291" s="39" t="s">
        <v>161</v>
      </c>
      <c r="C291" s="29"/>
      <c r="D291" s="19" t="str">
        <f>IF('TECHNOLOGY REGISTER'!D37="","",'TECHNOLOGY REGISTER'!D37)</f>
        <v/>
      </c>
      <c r="E291" s="29"/>
      <c r="F291" s="41"/>
      <c r="G291" s="29"/>
      <c r="H291" s="32" t="str">
        <f t="shared" si="0"/>
        <v/>
      </c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</row>
    <row r="292" spans="2:54" ht="15" customHeight="1" x14ac:dyDescent="0.45">
      <c r="B292" s="40" t="s">
        <v>161</v>
      </c>
      <c r="C292" s="30"/>
      <c r="D292" s="17" t="str">
        <f>IF('TECHNOLOGY REGISTER'!D38="","",'TECHNOLOGY REGISTER'!D38)</f>
        <v/>
      </c>
      <c r="E292" s="30"/>
      <c r="F292" s="42"/>
      <c r="G292" s="30"/>
      <c r="H292" s="24" t="str">
        <f t="shared" si="0"/>
        <v/>
      </c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</row>
    <row r="293" spans="2:54" ht="15" customHeight="1" x14ac:dyDescent="0.45">
      <c r="B293" s="39" t="s">
        <v>161</v>
      </c>
      <c r="C293" s="29"/>
      <c r="D293" s="19" t="str">
        <f>IF('TECHNOLOGY REGISTER'!D39="","",'TECHNOLOGY REGISTER'!D39)</f>
        <v/>
      </c>
      <c r="E293" s="29"/>
      <c r="F293" s="41"/>
      <c r="G293" s="29"/>
      <c r="H293" s="32" t="str">
        <f t="shared" si="0"/>
        <v/>
      </c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</row>
    <row r="294" spans="2:54" ht="15" customHeight="1" x14ac:dyDescent="0.45">
      <c r="B294" s="40" t="s">
        <v>161</v>
      </c>
      <c r="C294" s="30"/>
      <c r="D294" s="17" t="str">
        <f>IF('TECHNOLOGY REGISTER'!D40="","",'TECHNOLOGY REGISTER'!D40)</f>
        <v/>
      </c>
      <c r="E294" s="30"/>
      <c r="F294" s="42"/>
      <c r="G294" s="30"/>
      <c r="H294" s="24" t="str">
        <f t="shared" si="0"/>
        <v/>
      </c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</row>
    <row r="295" spans="2:54" ht="15" customHeight="1" x14ac:dyDescent="0.45">
      <c r="B295" s="39" t="s">
        <v>161</v>
      </c>
      <c r="C295" s="29"/>
      <c r="D295" s="19" t="str">
        <f>IF('TECHNOLOGY REGISTER'!D41="","",'TECHNOLOGY REGISTER'!D41)</f>
        <v/>
      </c>
      <c r="E295" s="29"/>
      <c r="F295" s="41"/>
      <c r="G295" s="29"/>
      <c r="H295" s="32" t="str">
        <f t="shared" si="0"/>
        <v/>
      </c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</row>
    <row r="296" spans="2:54" ht="15" customHeight="1" x14ac:dyDescent="0.45">
      <c r="B296" s="40" t="s">
        <v>161</v>
      </c>
      <c r="C296" s="30"/>
      <c r="D296" s="17" t="str">
        <f>IF('TECHNOLOGY REGISTER'!D42="","",'TECHNOLOGY REGISTER'!D42)</f>
        <v/>
      </c>
      <c r="E296" s="30"/>
      <c r="F296" s="42"/>
      <c r="G296" s="30"/>
      <c r="H296" s="24" t="str">
        <f t="shared" si="0"/>
        <v/>
      </c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</row>
    <row r="297" spans="2:54" ht="15" customHeight="1" x14ac:dyDescent="0.45">
      <c r="B297" s="39" t="s">
        <v>161</v>
      </c>
      <c r="C297" s="29"/>
      <c r="D297" s="19" t="str">
        <f>IF('TECHNOLOGY REGISTER'!D43="","",'TECHNOLOGY REGISTER'!D43)</f>
        <v/>
      </c>
      <c r="E297" s="29"/>
      <c r="F297" s="41"/>
      <c r="G297" s="29"/>
      <c r="H297" s="32" t="str">
        <f t="shared" si="0"/>
        <v/>
      </c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</row>
    <row r="298" spans="2:54" ht="15" customHeight="1" x14ac:dyDescent="0.45">
      <c r="B298" s="40" t="s">
        <v>161</v>
      </c>
      <c r="C298" s="30"/>
      <c r="D298" s="17" t="str">
        <f>IF('TECHNOLOGY REGISTER'!D44="","",'TECHNOLOGY REGISTER'!D44)</f>
        <v/>
      </c>
      <c r="E298" s="30"/>
      <c r="F298" s="42"/>
      <c r="G298" s="30"/>
      <c r="H298" s="24" t="str">
        <f t="shared" si="0"/>
        <v/>
      </c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</row>
    <row r="299" spans="2:54" ht="15" customHeight="1" x14ac:dyDescent="0.45">
      <c r="B299" s="39" t="s">
        <v>161</v>
      </c>
      <c r="C299" s="29"/>
      <c r="D299" s="19" t="str">
        <f>IF('TECHNOLOGY REGISTER'!D45="","",'TECHNOLOGY REGISTER'!D45)</f>
        <v/>
      </c>
      <c r="E299" s="29"/>
      <c r="F299" s="41"/>
      <c r="G299" s="29"/>
      <c r="H299" s="32" t="str">
        <f t="shared" si="0"/>
        <v/>
      </c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</row>
    <row r="300" spans="2:54" ht="15" customHeight="1" x14ac:dyDescent="0.45">
      <c r="B300" s="40" t="s">
        <v>161</v>
      </c>
      <c r="C300" s="30"/>
      <c r="D300" s="17" t="str">
        <f>IF('TECHNOLOGY REGISTER'!D46="","",'TECHNOLOGY REGISTER'!D46)</f>
        <v/>
      </c>
      <c r="E300" s="30"/>
      <c r="F300" s="42"/>
      <c r="G300" s="30"/>
      <c r="H300" s="24" t="str">
        <f t="shared" si="0"/>
        <v/>
      </c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</row>
    <row r="301" spans="2:54" ht="15" customHeight="1" x14ac:dyDescent="0.45">
      <c r="B301" s="39" t="s">
        <v>161</v>
      </c>
      <c r="C301" s="29"/>
      <c r="D301" s="19" t="str">
        <f>IF('TECHNOLOGY REGISTER'!D47="","",'TECHNOLOGY REGISTER'!D47)</f>
        <v/>
      </c>
      <c r="E301" s="29"/>
      <c r="F301" s="41"/>
      <c r="G301" s="29"/>
      <c r="H301" s="32" t="str">
        <f t="shared" si="0"/>
        <v/>
      </c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</row>
    <row r="302" spans="2:54" ht="15" customHeight="1" x14ac:dyDescent="0.45">
      <c r="B302" s="40" t="s">
        <v>161</v>
      </c>
      <c r="C302" s="30"/>
      <c r="D302" s="17" t="str">
        <f>IF('TECHNOLOGY REGISTER'!D48="","",'TECHNOLOGY REGISTER'!D48)</f>
        <v/>
      </c>
      <c r="E302" s="30"/>
      <c r="F302" s="42"/>
      <c r="G302" s="30"/>
      <c r="H302" s="24" t="str">
        <f t="shared" si="0"/>
        <v/>
      </c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</row>
    <row r="303" spans="2:54" ht="15" customHeight="1" x14ac:dyDescent="0.45">
      <c r="B303" s="39" t="s">
        <v>161</v>
      </c>
      <c r="C303" s="29"/>
      <c r="D303" s="19" t="str">
        <f>IF('TECHNOLOGY REGISTER'!D49="","",'TECHNOLOGY REGISTER'!D49)</f>
        <v/>
      </c>
      <c r="E303" s="29"/>
      <c r="F303" s="41"/>
      <c r="G303" s="29"/>
      <c r="H303" s="32" t="str">
        <f t="shared" si="0"/>
        <v/>
      </c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</row>
    <row r="304" spans="2:54" ht="15" customHeight="1" x14ac:dyDescent="0.45">
      <c r="B304" s="40" t="s">
        <v>161</v>
      </c>
      <c r="C304" s="30"/>
      <c r="D304" s="17" t="str">
        <f>IF('TECHNOLOGY REGISTER'!D50="","",'TECHNOLOGY REGISTER'!D50)</f>
        <v/>
      </c>
      <c r="E304" s="30"/>
      <c r="F304" s="42"/>
      <c r="G304" s="30"/>
      <c r="H304" s="24" t="str">
        <f t="shared" si="0"/>
        <v/>
      </c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</row>
    <row r="305" spans="2:54" ht="15" customHeight="1" x14ac:dyDescent="0.45">
      <c r="B305" s="39" t="s">
        <v>161</v>
      </c>
      <c r="C305" s="29"/>
      <c r="D305" s="19" t="str">
        <f>IF('TECHNOLOGY REGISTER'!D51="","",'TECHNOLOGY REGISTER'!D51)</f>
        <v/>
      </c>
      <c r="E305" s="29"/>
      <c r="F305" s="41"/>
      <c r="G305" s="29"/>
      <c r="H305" s="32" t="str">
        <f t="shared" si="0"/>
        <v/>
      </c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</row>
    <row r="306" spans="2:54" ht="15" customHeight="1" x14ac:dyDescent="0.45">
      <c r="B306" s="40" t="s">
        <v>161</v>
      </c>
      <c r="C306" s="30"/>
      <c r="D306" s="17" t="str">
        <f>IF('TECHNOLOGY REGISTER'!D52="","",'TECHNOLOGY REGISTER'!D52)</f>
        <v/>
      </c>
      <c r="E306" s="30"/>
      <c r="F306" s="42"/>
      <c r="G306" s="30"/>
      <c r="H306" s="24" t="str">
        <f t="shared" si="0"/>
        <v/>
      </c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</row>
    <row r="307" spans="2:54" ht="15" customHeight="1" x14ac:dyDescent="0.45">
      <c r="B307" s="39" t="s">
        <v>161</v>
      </c>
      <c r="C307" s="29"/>
      <c r="D307" s="19" t="str">
        <f>IF('TECHNOLOGY REGISTER'!D53="","",'TECHNOLOGY REGISTER'!D53)</f>
        <v/>
      </c>
      <c r="E307" s="29"/>
      <c r="F307" s="41"/>
      <c r="G307" s="29"/>
      <c r="H307" s="32" t="str">
        <f t="shared" si="0"/>
        <v/>
      </c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</row>
    <row r="308" spans="2:54" ht="15" customHeight="1" x14ac:dyDescent="0.45">
      <c r="B308" s="40" t="s">
        <v>161</v>
      </c>
      <c r="C308" s="30"/>
      <c r="D308" s="17" t="str">
        <f>IF('TECHNOLOGY REGISTER'!D54="","",'TECHNOLOGY REGISTER'!D54)</f>
        <v/>
      </c>
      <c r="E308" s="30"/>
      <c r="F308" s="42"/>
      <c r="G308" s="30"/>
      <c r="H308" s="24" t="str">
        <f t="shared" si="0"/>
        <v/>
      </c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</row>
    <row r="309" spans="2:54" ht="15" customHeight="1" x14ac:dyDescent="0.45">
      <c r="B309" s="39" t="s">
        <v>161</v>
      </c>
      <c r="C309" s="29"/>
      <c r="D309" s="19" t="str">
        <f>IF('TECHNOLOGY REGISTER'!D55="","",'TECHNOLOGY REGISTER'!D55)</f>
        <v/>
      </c>
      <c r="E309" s="29"/>
      <c r="F309" s="41"/>
      <c r="G309" s="29"/>
      <c r="H309" s="32" t="str">
        <f t="shared" si="0"/>
        <v/>
      </c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</row>
    <row r="310" spans="2:54" ht="15" customHeight="1" thickBot="1" x14ac:dyDescent="0.5">
      <c r="B310" s="40" t="s">
        <v>161</v>
      </c>
      <c r="C310" s="30"/>
      <c r="D310" s="17" t="str">
        <f>IF('TECHNOLOGY REGISTER'!D56="","",'TECHNOLOGY REGISTER'!D56)</f>
        <v/>
      </c>
      <c r="E310" s="30"/>
      <c r="F310" s="42"/>
      <c r="G310" s="30"/>
      <c r="H310" s="24" t="str">
        <f t="shared" si="0"/>
        <v/>
      </c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</row>
    <row r="311" spans="2:54" customFormat="1" ht="20" customHeight="1" x14ac:dyDescent="0.5">
      <c r="B311" s="69" t="s">
        <v>163</v>
      </c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</row>
    <row r="312" spans="2:54" ht="17" customHeight="1" x14ac:dyDescent="0.45">
      <c r="B312" s="39" t="s">
        <v>161</v>
      </c>
      <c r="C312" s="29" t="s">
        <v>5</v>
      </c>
      <c r="D312" s="19" t="str">
        <f>IF('TECHNOLOGY REGISTER'!D7="","",'TECHNOLOGY REGISTER'!D7)</f>
        <v>Biomass</v>
      </c>
      <c r="E312" s="29" t="s">
        <v>53</v>
      </c>
      <c r="F312" s="41">
        <v>2</v>
      </c>
      <c r="G312" s="29" t="s">
        <v>29</v>
      </c>
      <c r="H312" s="32" t="str">
        <f>IF(E312="","",E312&amp;"/kWh")</f>
        <v>KES/kWh</v>
      </c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</row>
    <row r="313" spans="2:54" ht="17" customHeight="1" x14ac:dyDescent="0.45">
      <c r="B313" s="40" t="s">
        <v>161</v>
      </c>
      <c r="C313" s="30" t="s">
        <v>5</v>
      </c>
      <c r="D313" s="17" t="str">
        <f>IF('TECHNOLOGY REGISTER'!D8="","",'TECHNOLOGY REGISTER'!D8)</f>
        <v>Geothermal</v>
      </c>
      <c r="E313" s="30" t="s">
        <v>53</v>
      </c>
      <c r="F313" s="42">
        <v>2</v>
      </c>
      <c r="G313" s="30" t="s">
        <v>29</v>
      </c>
      <c r="H313" s="24" t="str">
        <f t="shared" ref="H313:H361" si="1">IF(E313="","",E313&amp;"/kWh")</f>
        <v>KES/kWh</v>
      </c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</row>
    <row r="314" spans="2:54" ht="17" customHeight="1" x14ac:dyDescent="0.45">
      <c r="B314" s="39" t="s">
        <v>161</v>
      </c>
      <c r="C314" s="29" t="s">
        <v>5</v>
      </c>
      <c r="D314" s="19" t="str">
        <f>IF('TECHNOLOGY REGISTER'!D9="","",'TECHNOLOGY REGISTER'!D9)</f>
        <v>Solar PV</v>
      </c>
      <c r="E314" s="29" t="s">
        <v>53</v>
      </c>
      <c r="F314" s="41">
        <v>2</v>
      </c>
      <c r="G314" s="29" t="s">
        <v>29</v>
      </c>
      <c r="H314" s="32" t="str">
        <f t="shared" si="1"/>
        <v>KES/kWh</v>
      </c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</row>
    <row r="315" spans="2:54" ht="17" customHeight="1" x14ac:dyDescent="0.45">
      <c r="B315" s="40" t="s">
        <v>161</v>
      </c>
      <c r="C315" s="30" t="s">
        <v>5</v>
      </c>
      <c r="D315" s="17" t="str">
        <f>IF('TECHNOLOGY REGISTER'!D10="","",'TECHNOLOGY REGISTER'!D10)</f>
        <v>CSP</v>
      </c>
      <c r="E315" s="30" t="s">
        <v>53</v>
      </c>
      <c r="F315" s="42">
        <v>2</v>
      </c>
      <c r="G315" s="30" t="s">
        <v>29</v>
      </c>
      <c r="H315" s="24" t="str">
        <f t="shared" si="1"/>
        <v>KES/kWh</v>
      </c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</row>
    <row r="316" spans="2:54" ht="17" customHeight="1" x14ac:dyDescent="0.45">
      <c r="B316" s="39" t="s">
        <v>161</v>
      </c>
      <c r="C316" s="29" t="s">
        <v>5</v>
      </c>
      <c r="D316" s="19" t="str">
        <f>IF('TECHNOLOGY REGISTER'!D11="","",'TECHNOLOGY REGISTER'!D11)</f>
        <v>Hydropower</v>
      </c>
      <c r="E316" s="29" t="s">
        <v>53</v>
      </c>
      <c r="F316" s="41">
        <v>2</v>
      </c>
      <c r="G316" s="29" t="s">
        <v>29</v>
      </c>
      <c r="H316" s="32" t="str">
        <f t="shared" si="1"/>
        <v>KES/kWh</v>
      </c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</row>
    <row r="317" spans="2:54" ht="17" customHeight="1" x14ac:dyDescent="0.45">
      <c r="B317" s="40" t="s">
        <v>161</v>
      </c>
      <c r="C317" s="30" t="s">
        <v>5</v>
      </c>
      <c r="D317" s="17" t="str">
        <f>IF('TECHNOLOGY REGISTER'!D12="","",'TECHNOLOGY REGISTER'!D12)</f>
        <v>Nuclear</v>
      </c>
      <c r="E317" s="30" t="s">
        <v>53</v>
      </c>
      <c r="F317" s="42">
        <v>2</v>
      </c>
      <c r="G317" s="30" t="s">
        <v>29</v>
      </c>
      <c r="H317" s="24" t="str">
        <f t="shared" si="1"/>
        <v>KES/kWh</v>
      </c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</row>
    <row r="318" spans="2:54" ht="17" customHeight="1" x14ac:dyDescent="0.45">
      <c r="B318" s="39" t="s">
        <v>161</v>
      </c>
      <c r="C318" s="29" t="s">
        <v>5</v>
      </c>
      <c r="D318" s="19" t="str">
        <f>IF('TECHNOLOGY REGISTER'!D13="","",'TECHNOLOGY REGISTER'!D13)</f>
        <v>Wind</v>
      </c>
      <c r="E318" s="29" t="s">
        <v>53</v>
      </c>
      <c r="F318" s="41">
        <v>2</v>
      </c>
      <c r="G318" s="29" t="s">
        <v>29</v>
      </c>
      <c r="H318" s="32" t="str">
        <f t="shared" si="1"/>
        <v>KES/kWh</v>
      </c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</row>
    <row r="319" spans="2:54" ht="17" customHeight="1" x14ac:dyDescent="0.45">
      <c r="B319" s="40" t="s">
        <v>161</v>
      </c>
      <c r="C319" s="30" t="s">
        <v>5</v>
      </c>
      <c r="D319" s="17" t="str">
        <f>IF('TECHNOLOGY REGISTER'!D14="","",'TECHNOLOGY REGISTER'!D14)</f>
        <v>Coal</v>
      </c>
      <c r="E319" s="30" t="s">
        <v>53</v>
      </c>
      <c r="F319" s="42">
        <v>2</v>
      </c>
      <c r="G319" s="30" t="s">
        <v>29</v>
      </c>
      <c r="H319" s="24" t="str">
        <f t="shared" si="1"/>
        <v>KES/kWh</v>
      </c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</row>
    <row r="320" spans="2:54" ht="17" customHeight="1" x14ac:dyDescent="0.45">
      <c r="B320" s="39" t="s">
        <v>161</v>
      </c>
      <c r="C320" s="29" t="s">
        <v>5</v>
      </c>
      <c r="D320" s="19" t="str">
        <f>IF('TECHNOLOGY REGISTER'!D15="","",'TECHNOLOGY REGISTER'!D15)</f>
        <v>Oil</v>
      </c>
      <c r="E320" s="29" t="s">
        <v>53</v>
      </c>
      <c r="F320" s="41">
        <v>2</v>
      </c>
      <c r="G320" s="29" t="s">
        <v>13</v>
      </c>
      <c r="H320" s="32" t="str">
        <f t="shared" si="1"/>
        <v>KES/kWh</v>
      </c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</row>
    <row r="321" spans="2:54" ht="17" customHeight="1" x14ac:dyDescent="0.45">
      <c r="B321" s="40" t="s">
        <v>161</v>
      </c>
      <c r="C321" s="30" t="s">
        <v>5</v>
      </c>
      <c r="D321" s="17" t="str">
        <f>IF('TECHNOLOGY REGISTER'!D16="","",'TECHNOLOGY REGISTER'!D16)</f>
        <v>Gas</v>
      </c>
      <c r="E321" s="30" t="s">
        <v>53</v>
      </c>
      <c r="F321" s="42" t="s">
        <v>70</v>
      </c>
      <c r="G321" s="30" t="s">
        <v>156</v>
      </c>
      <c r="H321" s="24" t="str">
        <f t="shared" si="1"/>
        <v>KES/kWh</v>
      </c>
      <c r="I321" s="37">
        <v>15.992348399999999</v>
      </c>
      <c r="J321" s="37">
        <v>15.992348399999999</v>
      </c>
      <c r="K321" s="37">
        <v>15.992348399999999</v>
      </c>
      <c r="L321" s="37">
        <v>15.992348399999999</v>
      </c>
      <c r="M321" s="37">
        <v>15.992348399999999</v>
      </c>
      <c r="N321" s="37">
        <v>15.992348399999999</v>
      </c>
      <c r="O321" s="37">
        <v>15.992348399999999</v>
      </c>
      <c r="P321" s="37">
        <v>15.992348399999999</v>
      </c>
      <c r="Q321" s="37">
        <v>15.992348399999999</v>
      </c>
      <c r="R321" s="37">
        <v>15.992348399999999</v>
      </c>
      <c r="S321" s="37">
        <v>15.992348399999999</v>
      </c>
      <c r="T321" s="37">
        <v>15.992348399999999</v>
      </c>
      <c r="U321" s="37">
        <v>15.992348399999999</v>
      </c>
      <c r="V321" s="37">
        <v>15.992348399999999</v>
      </c>
      <c r="W321" s="37">
        <v>15.992348399999999</v>
      </c>
      <c r="X321" s="37">
        <v>15.992348399999999</v>
      </c>
      <c r="Y321" s="37">
        <v>15.992348399999999</v>
      </c>
      <c r="Z321" s="37">
        <v>15.992348399999999</v>
      </c>
      <c r="AA321" s="37">
        <v>15.992348399999999</v>
      </c>
      <c r="AB321" s="37">
        <v>15.992348399999999</v>
      </c>
      <c r="AC321" s="37">
        <v>15.992348399999999</v>
      </c>
      <c r="AD321" s="37">
        <v>15.992348399999999</v>
      </c>
      <c r="AE321" s="37">
        <v>15.992348399999999</v>
      </c>
      <c r="AF321" s="37">
        <v>15.992348399999999</v>
      </c>
      <c r="AG321" s="37">
        <v>15.992348399999999</v>
      </c>
      <c r="AH321" s="37">
        <v>15.992348399999999</v>
      </c>
      <c r="AI321" s="37">
        <v>15.992348399999999</v>
      </c>
      <c r="AJ321" s="37">
        <v>15.992348399999999</v>
      </c>
      <c r="AK321" s="37">
        <v>15.992348399999999</v>
      </c>
      <c r="AL321" s="37">
        <v>15.992348399999999</v>
      </c>
      <c r="AM321" s="37">
        <v>15.992348399999999</v>
      </c>
      <c r="AN321" s="37">
        <v>15.992348399999999</v>
      </c>
      <c r="AO321" s="37">
        <v>15.992348399999999</v>
      </c>
      <c r="AP321" s="37">
        <v>15.992348399999999</v>
      </c>
      <c r="AQ321" s="37">
        <v>15.992348399999999</v>
      </c>
      <c r="AR321" s="37">
        <v>15.992348399999999</v>
      </c>
      <c r="AS321" s="37">
        <v>15.992348399999999</v>
      </c>
      <c r="AT321" s="37">
        <v>15.992348399999999</v>
      </c>
      <c r="AU321" s="37">
        <v>15.992348399999999</v>
      </c>
      <c r="AV321" s="37">
        <v>15.992348399999999</v>
      </c>
      <c r="AW321" s="37">
        <v>15.992348399999999</v>
      </c>
      <c r="AX321" s="37">
        <v>15.992348399999999</v>
      </c>
      <c r="AY321" s="37">
        <v>15.992348399999999</v>
      </c>
      <c r="AZ321" s="37">
        <v>15.992348399999999</v>
      </c>
      <c r="BA321" s="37">
        <v>15.992348399999999</v>
      </c>
      <c r="BB321" s="37">
        <v>15.992348399999999</v>
      </c>
    </row>
    <row r="322" spans="2:54" ht="17" customHeight="1" x14ac:dyDescent="0.45">
      <c r="B322" s="39" t="s">
        <v>161</v>
      </c>
      <c r="C322" s="29" t="s">
        <v>5</v>
      </c>
      <c r="D322" s="19" t="str">
        <f>IF('TECHNOLOGY REGISTER'!D17="","",'TECHNOLOGY REGISTER'!D17)</f>
        <v>Transmission</v>
      </c>
      <c r="E322" s="29" t="s">
        <v>53</v>
      </c>
      <c r="F322" s="41">
        <v>2</v>
      </c>
      <c r="G322" s="29" t="s">
        <v>29</v>
      </c>
      <c r="H322" s="32" t="str">
        <f t="shared" si="1"/>
        <v>KES/kWh</v>
      </c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</row>
    <row r="323" spans="2:54" ht="17" customHeight="1" x14ac:dyDescent="0.45">
      <c r="B323" s="40" t="s">
        <v>161</v>
      </c>
      <c r="C323" s="30" t="s">
        <v>5</v>
      </c>
      <c r="D323" s="17" t="str">
        <f>IF('TECHNOLOGY REGISTER'!D18="","",'TECHNOLOGY REGISTER'!D18)</f>
        <v>Distribution</v>
      </c>
      <c r="E323" s="30" t="s">
        <v>53</v>
      </c>
      <c r="F323" s="42">
        <v>2</v>
      </c>
      <c r="G323" s="30" t="s">
        <v>29</v>
      </c>
      <c r="H323" s="24" t="str">
        <f t="shared" si="1"/>
        <v>KES/kWh</v>
      </c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</row>
    <row r="324" spans="2:54" ht="17" customHeight="1" x14ac:dyDescent="0.45">
      <c r="B324" s="39" t="s">
        <v>161</v>
      </c>
      <c r="C324" s="29"/>
      <c r="D324" s="19" t="str">
        <f>IF('TECHNOLOGY REGISTER'!D19="","",'TECHNOLOGY REGISTER'!D19)</f>
        <v>Imports</v>
      </c>
      <c r="E324" s="29"/>
      <c r="F324" s="41"/>
      <c r="G324" s="29"/>
      <c r="H324" s="32" t="str">
        <f t="shared" si="1"/>
        <v/>
      </c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</row>
    <row r="325" spans="2:54" ht="17" customHeight="1" x14ac:dyDescent="0.45">
      <c r="B325" s="40" t="s">
        <v>161</v>
      </c>
      <c r="C325" s="30"/>
      <c r="D325" s="17" t="str">
        <f>IF('TECHNOLOGY REGISTER'!D20="","",'TECHNOLOGY REGISTER'!D20)</f>
        <v>Energy Exports</v>
      </c>
      <c r="E325" s="30"/>
      <c r="F325" s="42"/>
      <c r="G325" s="30"/>
      <c r="H325" s="24" t="str">
        <f t="shared" si="1"/>
        <v/>
      </c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</row>
    <row r="326" spans="2:54" ht="17" customHeight="1" x14ac:dyDescent="0.45">
      <c r="B326" s="39" t="s">
        <v>161</v>
      </c>
      <c r="C326" s="29"/>
      <c r="D326" s="19" t="str">
        <f>IF('TECHNOLOGY REGISTER'!D21="","",'TECHNOLOGY REGISTER'!D21)</f>
        <v>Direct Solar</v>
      </c>
      <c r="E326" s="29"/>
      <c r="F326" s="41"/>
      <c r="G326" s="29"/>
      <c r="H326" s="32" t="str">
        <f t="shared" si="1"/>
        <v/>
      </c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</row>
    <row r="327" spans="2:54" ht="15" customHeight="1" x14ac:dyDescent="0.45">
      <c r="B327" s="40" t="s">
        <v>161</v>
      </c>
      <c r="C327" s="30"/>
      <c r="D327" s="17" t="str">
        <f>IF('TECHNOLOGY REGISTER'!D22="","",'TECHNOLOGY REGISTER'!D22)</f>
        <v>Direct Oil</v>
      </c>
      <c r="E327" s="30"/>
      <c r="F327" s="42"/>
      <c r="G327" s="30"/>
      <c r="H327" s="24" t="str">
        <f t="shared" si="1"/>
        <v/>
      </c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</row>
    <row r="328" spans="2:54" ht="15" customHeight="1" x14ac:dyDescent="0.45">
      <c r="B328" s="39" t="s">
        <v>161</v>
      </c>
      <c r="C328" s="29"/>
      <c r="D328" s="19" t="str">
        <f>IF('TECHNOLOGY REGISTER'!D23="","",'TECHNOLOGY REGISTER'!D23)</f>
        <v>Direct Hydro</v>
      </c>
      <c r="E328" s="29"/>
      <c r="F328" s="41"/>
      <c r="G328" s="29"/>
      <c r="H328" s="32" t="str">
        <f t="shared" si="1"/>
        <v/>
      </c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</row>
    <row r="329" spans="2:54" ht="15" customHeight="1" x14ac:dyDescent="0.45">
      <c r="B329" s="40" t="s">
        <v>161</v>
      </c>
      <c r="C329" s="30"/>
      <c r="D329" s="17" t="str">
        <f>IF('TECHNOLOGY REGISTER'!D24="","",'TECHNOLOGY REGISTER'!D24)</f>
        <v/>
      </c>
      <c r="E329" s="30"/>
      <c r="F329" s="42"/>
      <c r="G329" s="30"/>
      <c r="H329" s="24" t="str">
        <f t="shared" si="1"/>
        <v/>
      </c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</row>
    <row r="330" spans="2:54" ht="15" customHeight="1" x14ac:dyDescent="0.45">
      <c r="B330" s="39" t="s">
        <v>161</v>
      </c>
      <c r="C330" s="29"/>
      <c r="D330" s="19" t="str">
        <f>IF('TECHNOLOGY REGISTER'!D25="","",'TECHNOLOGY REGISTER'!D25)</f>
        <v/>
      </c>
      <c r="E330" s="29"/>
      <c r="F330" s="41"/>
      <c r="G330" s="29"/>
      <c r="H330" s="32" t="str">
        <f t="shared" si="1"/>
        <v/>
      </c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</row>
    <row r="331" spans="2:54" ht="15" customHeight="1" x14ac:dyDescent="0.45">
      <c r="B331" s="40" t="s">
        <v>161</v>
      </c>
      <c r="C331" s="30"/>
      <c r="D331" s="17" t="str">
        <f>IF('TECHNOLOGY REGISTER'!D26="","",'TECHNOLOGY REGISTER'!D26)</f>
        <v/>
      </c>
      <c r="E331" s="30"/>
      <c r="F331" s="42"/>
      <c r="G331" s="30"/>
      <c r="H331" s="24" t="str">
        <f t="shared" si="1"/>
        <v/>
      </c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</row>
    <row r="332" spans="2:54" ht="15" customHeight="1" x14ac:dyDescent="0.45">
      <c r="B332" s="39" t="s">
        <v>161</v>
      </c>
      <c r="C332" s="29"/>
      <c r="D332" s="19" t="str">
        <f>IF('TECHNOLOGY REGISTER'!D27="","",'TECHNOLOGY REGISTER'!D27)</f>
        <v/>
      </c>
      <c r="E332" s="29"/>
      <c r="F332" s="41"/>
      <c r="G332" s="29"/>
      <c r="H332" s="32" t="str">
        <f t="shared" si="1"/>
        <v/>
      </c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</row>
    <row r="333" spans="2:54" ht="15" customHeight="1" x14ac:dyDescent="0.45">
      <c r="B333" s="40" t="s">
        <v>161</v>
      </c>
      <c r="C333" s="30"/>
      <c r="D333" s="17" t="str">
        <f>IF('TECHNOLOGY REGISTER'!D28="","",'TECHNOLOGY REGISTER'!D28)</f>
        <v/>
      </c>
      <c r="E333" s="30"/>
      <c r="F333" s="42"/>
      <c r="G333" s="30"/>
      <c r="H333" s="24" t="str">
        <f t="shared" si="1"/>
        <v/>
      </c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</row>
    <row r="334" spans="2:54" ht="15" customHeight="1" x14ac:dyDescent="0.45">
      <c r="B334" s="39" t="s">
        <v>161</v>
      </c>
      <c r="C334" s="29"/>
      <c r="D334" s="19" t="str">
        <f>IF('TECHNOLOGY REGISTER'!D29="","",'TECHNOLOGY REGISTER'!D29)</f>
        <v/>
      </c>
      <c r="E334" s="29"/>
      <c r="F334" s="41"/>
      <c r="G334" s="29"/>
      <c r="H334" s="32" t="str">
        <f t="shared" si="1"/>
        <v/>
      </c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</row>
    <row r="335" spans="2:54" ht="15" customHeight="1" x14ac:dyDescent="0.45">
      <c r="B335" s="40" t="s">
        <v>161</v>
      </c>
      <c r="C335" s="30"/>
      <c r="D335" s="17" t="str">
        <f>IF('TECHNOLOGY REGISTER'!D30="","",'TECHNOLOGY REGISTER'!D30)</f>
        <v/>
      </c>
      <c r="E335" s="30"/>
      <c r="F335" s="42"/>
      <c r="G335" s="30"/>
      <c r="H335" s="24" t="str">
        <f t="shared" si="1"/>
        <v/>
      </c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</row>
    <row r="336" spans="2:54" ht="15" customHeight="1" x14ac:dyDescent="0.45">
      <c r="B336" s="39" t="s">
        <v>161</v>
      </c>
      <c r="C336" s="29"/>
      <c r="D336" s="19" t="str">
        <f>IF('TECHNOLOGY REGISTER'!D31="","",'TECHNOLOGY REGISTER'!D31)</f>
        <v/>
      </c>
      <c r="E336" s="29"/>
      <c r="F336" s="41"/>
      <c r="G336" s="29"/>
      <c r="H336" s="32" t="str">
        <f t="shared" si="1"/>
        <v/>
      </c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</row>
    <row r="337" spans="2:54" ht="15" customHeight="1" x14ac:dyDescent="0.45">
      <c r="B337" s="40" t="s">
        <v>161</v>
      </c>
      <c r="C337" s="30"/>
      <c r="D337" s="17" t="str">
        <f>IF('TECHNOLOGY REGISTER'!D32="","",'TECHNOLOGY REGISTER'!D32)</f>
        <v/>
      </c>
      <c r="E337" s="30"/>
      <c r="F337" s="42"/>
      <c r="G337" s="30"/>
      <c r="H337" s="24" t="str">
        <f t="shared" si="1"/>
        <v/>
      </c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</row>
    <row r="338" spans="2:54" ht="15" customHeight="1" x14ac:dyDescent="0.45">
      <c r="B338" s="39" t="s">
        <v>161</v>
      </c>
      <c r="C338" s="29"/>
      <c r="D338" s="19" t="str">
        <f>IF('TECHNOLOGY REGISTER'!D33="","",'TECHNOLOGY REGISTER'!D33)</f>
        <v/>
      </c>
      <c r="E338" s="29"/>
      <c r="F338" s="41"/>
      <c r="G338" s="29"/>
      <c r="H338" s="32" t="str">
        <f t="shared" si="1"/>
        <v/>
      </c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</row>
    <row r="339" spans="2:54" ht="15" customHeight="1" x14ac:dyDescent="0.45">
      <c r="B339" s="40" t="s">
        <v>161</v>
      </c>
      <c r="C339" s="30"/>
      <c r="D339" s="17" t="str">
        <f>IF('TECHNOLOGY REGISTER'!D34="","",'TECHNOLOGY REGISTER'!D34)</f>
        <v/>
      </c>
      <c r="E339" s="30"/>
      <c r="F339" s="42"/>
      <c r="G339" s="30"/>
      <c r="H339" s="24" t="str">
        <f t="shared" si="1"/>
        <v/>
      </c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</row>
    <row r="340" spans="2:54" ht="15" customHeight="1" x14ac:dyDescent="0.45">
      <c r="B340" s="39" t="s">
        <v>161</v>
      </c>
      <c r="C340" s="29"/>
      <c r="D340" s="19" t="str">
        <f>IF('TECHNOLOGY REGISTER'!D35="","",'TECHNOLOGY REGISTER'!D35)</f>
        <v/>
      </c>
      <c r="E340" s="29"/>
      <c r="F340" s="41"/>
      <c r="G340" s="29"/>
      <c r="H340" s="32" t="str">
        <f t="shared" si="1"/>
        <v/>
      </c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</row>
    <row r="341" spans="2:54" ht="15" customHeight="1" x14ac:dyDescent="0.45">
      <c r="B341" s="40" t="s">
        <v>161</v>
      </c>
      <c r="C341" s="30"/>
      <c r="D341" s="17" t="str">
        <f>IF('TECHNOLOGY REGISTER'!D36="","",'TECHNOLOGY REGISTER'!D36)</f>
        <v/>
      </c>
      <c r="E341" s="30"/>
      <c r="F341" s="42"/>
      <c r="G341" s="30"/>
      <c r="H341" s="24" t="str">
        <f t="shared" si="1"/>
        <v/>
      </c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</row>
    <row r="342" spans="2:54" ht="15" customHeight="1" x14ac:dyDescent="0.45">
      <c r="B342" s="39" t="s">
        <v>161</v>
      </c>
      <c r="C342" s="29"/>
      <c r="D342" s="19" t="str">
        <f>IF('TECHNOLOGY REGISTER'!D37="","",'TECHNOLOGY REGISTER'!D37)</f>
        <v/>
      </c>
      <c r="E342" s="29"/>
      <c r="F342" s="41"/>
      <c r="G342" s="29"/>
      <c r="H342" s="32" t="str">
        <f t="shared" si="1"/>
        <v/>
      </c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</row>
    <row r="343" spans="2:54" ht="15" customHeight="1" x14ac:dyDescent="0.45">
      <c r="B343" s="40" t="s">
        <v>161</v>
      </c>
      <c r="C343" s="30"/>
      <c r="D343" s="17" t="str">
        <f>IF('TECHNOLOGY REGISTER'!D38="","",'TECHNOLOGY REGISTER'!D38)</f>
        <v/>
      </c>
      <c r="E343" s="30"/>
      <c r="F343" s="42"/>
      <c r="G343" s="30"/>
      <c r="H343" s="24" t="str">
        <f t="shared" si="1"/>
        <v/>
      </c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</row>
    <row r="344" spans="2:54" ht="15" customHeight="1" x14ac:dyDescent="0.45">
      <c r="B344" s="39" t="s">
        <v>161</v>
      </c>
      <c r="C344" s="29"/>
      <c r="D344" s="19" t="str">
        <f>IF('TECHNOLOGY REGISTER'!D39="","",'TECHNOLOGY REGISTER'!D39)</f>
        <v/>
      </c>
      <c r="E344" s="29"/>
      <c r="F344" s="41"/>
      <c r="G344" s="29"/>
      <c r="H344" s="32" t="str">
        <f t="shared" si="1"/>
        <v/>
      </c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</row>
    <row r="345" spans="2:54" ht="15" customHeight="1" x14ac:dyDescent="0.45">
      <c r="B345" s="40" t="s">
        <v>161</v>
      </c>
      <c r="C345" s="30"/>
      <c r="D345" s="17" t="str">
        <f>IF('TECHNOLOGY REGISTER'!D40="","",'TECHNOLOGY REGISTER'!D40)</f>
        <v/>
      </c>
      <c r="E345" s="30"/>
      <c r="F345" s="42"/>
      <c r="G345" s="30"/>
      <c r="H345" s="24" t="str">
        <f t="shared" si="1"/>
        <v/>
      </c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</row>
    <row r="346" spans="2:54" ht="15" customHeight="1" x14ac:dyDescent="0.45">
      <c r="B346" s="39" t="s">
        <v>161</v>
      </c>
      <c r="C346" s="29"/>
      <c r="D346" s="19" t="str">
        <f>IF('TECHNOLOGY REGISTER'!D41="","",'TECHNOLOGY REGISTER'!D41)</f>
        <v/>
      </c>
      <c r="E346" s="29"/>
      <c r="F346" s="41"/>
      <c r="G346" s="29"/>
      <c r="H346" s="32" t="str">
        <f t="shared" si="1"/>
        <v/>
      </c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</row>
    <row r="347" spans="2:54" ht="15" customHeight="1" x14ac:dyDescent="0.45">
      <c r="B347" s="40" t="s">
        <v>161</v>
      </c>
      <c r="C347" s="30"/>
      <c r="D347" s="17" t="str">
        <f>IF('TECHNOLOGY REGISTER'!D42="","",'TECHNOLOGY REGISTER'!D42)</f>
        <v/>
      </c>
      <c r="E347" s="30"/>
      <c r="F347" s="42"/>
      <c r="G347" s="30"/>
      <c r="H347" s="24" t="str">
        <f t="shared" si="1"/>
        <v/>
      </c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</row>
    <row r="348" spans="2:54" ht="15" customHeight="1" x14ac:dyDescent="0.45">
      <c r="B348" s="39" t="s">
        <v>161</v>
      </c>
      <c r="C348" s="29"/>
      <c r="D348" s="19" t="str">
        <f>IF('TECHNOLOGY REGISTER'!D43="","",'TECHNOLOGY REGISTER'!D43)</f>
        <v/>
      </c>
      <c r="E348" s="29"/>
      <c r="F348" s="41"/>
      <c r="G348" s="29"/>
      <c r="H348" s="32" t="str">
        <f t="shared" si="1"/>
        <v/>
      </c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</row>
    <row r="349" spans="2:54" ht="15" customHeight="1" x14ac:dyDescent="0.45">
      <c r="B349" s="40" t="s">
        <v>161</v>
      </c>
      <c r="C349" s="30"/>
      <c r="D349" s="17" t="str">
        <f>IF('TECHNOLOGY REGISTER'!D44="","",'TECHNOLOGY REGISTER'!D44)</f>
        <v/>
      </c>
      <c r="E349" s="30"/>
      <c r="F349" s="42"/>
      <c r="G349" s="30"/>
      <c r="H349" s="24" t="str">
        <f t="shared" si="1"/>
        <v/>
      </c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</row>
    <row r="350" spans="2:54" ht="15" customHeight="1" x14ac:dyDescent="0.45">
      <c r="B350" s="39" t="s">
        <v>161</v>
      </c>
      <c r="C350" s="29"/>
      <c r="D350" s="19" t="str">
        <f>IF('TECHNOLOGY REGISTER'!D45="","",'TECHNOLOGY REGISTER'!D45)</f>
        <v/>
      </c>
      <c r="E350" s="29"/>
      <c r="F350" s="41"/>
      <c r="G350" s="29"/>
      <c r="H350" s="32" t="str">
        <f t="shared" si="1"/>
        <v/>
      </c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</row>
    <row r="351" spans="2:54" ht="15" customHeight="1" x14ac:dyDescent="0.45">
      <c r="B351" s="40" t="s">
        <v>161</v>
      </c>
      <c r="C351" s="30"/>
      <c r="D351" s="17" t="str">
        <f>IF('TECHNOLOGY REGISTER'!D46="","",'TECHNOLOGY REGISTER'!D46)</f>
        <v/>
      </c>
      <c r="E351" s="30"/>
      <c r="F351" s="42"/>
      <c r="G351" s="30"/>
      <c r="H351" s="24" t="str">
        <f t="shared" si="1"/>
        <v/>
      </c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</row>
    <row r="352" spans="2:54" ht="15" customHeight="1" x14ac:dyDescent="0.45">
      <c r="B352" s="39" t="s">
        <v>161</v>
      </c>
      <c r="C352" s="29"/>
      <c r="D352" s="19" t="str">
        <f>IF('TECHNOLOGY REGISTER'!D47="","",'TECHNOLOGY REGISTER'!D47)</f>
        <v/>
      </c>
      <c r="E352" s="29"/>
      <c r="F352" s="41"/>
      <c r="G352" s="29"/>
      <c r="H352" s="32" t="str">
        <f t="shared" si="1"/>
        <v/>
      </c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</row>
    <row r="353" spans="2:54" ht="15" customHeight="1" x14ac:dyDescent="0.45">
      <c r="B353" s="40" t="s">
        <v>161</v>
      </c>
      <c r="C353" s="30"/>
      <c r="D353" s="17" t="str">
        <f>IF('TECHNOLOGY REGISTER'!D48="","",'TECHNOLOGY REGISTER'!D48)</f>
        <v/>
      </c>
      <c r="E353" s="30"/>
      <c r="F353" s="42"/>
      <c r="G353" s="30"/>
      <c r="H353" s="24" t="str">
        <f t="shared" si="1"/>
        <v/>
      </c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</row>
    <row r="354" spans="2:54" ht="15" customHeight="1" x14ac:dyDescent="0.45">
      <c r="B354" s="39" t="s">
        <v>161</v>
      </c>
      <c r="C354" s="29"/>
      <c r="D354" s="19" t="str">
        <f>IF('TECHNOLOGY REGISTER'!D49="","",'TECHNOLOGY REGISTER'!D49)</f>
        <v/>
      </c>
      <c r="E354" s="29"/>
      <c r="F354" s="41"/>
      <c r="G354" s="29"/>
      <c r="H354" s="32" t="str">
        <f t="shared" si="1"/>
        <v/>
      </c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</row>
    <row r="355" spans="2:54" ht="15" customHeight="1" x14ac:dyDescent="0.45">
      <c r="B355" s="40" t="s">
        <v>161</v>
      </c>
      <c r="C355" s="30"/>
      <c r="D355" s="17" t="str">
        <f>IF('TECHNOLOGY REGISTER'!D50="","",'TECHNOLOGY REGISTER'!D50)</f>
        <v/>
      </c>
      <c r="E355" s="30"/>
      <c r="F355" s="42"/>
      <c r="G355" s="30"/>
      <c r="H355" s="24" t="str">
        <f t="shared" si="1"/>
        <v/>
      </c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</row>
    <row r="356" spans="2:54" ht="15" customHeight="1" x14ac:dyDescent="0.45">
      <c r="B356" s="39" t="s">
        <v>161</v>
      </c>
      <c r="C356" s="29"/>
      <c r="D356" s="19" t="str">
        <f>IF('TECHNOLOGY REGISTER'!D51="","",'TECHNOLOGY REGISTER'!D51)</f>
        <v/>
      </c>
      <c r="E356" s="29"/>
      <c r="F356" s="41"/>
      <c r="G356" s="29"/>
      <c r="H356" s="32" t="str">
        <f t="shared" si="1"/>
        <v/>
      </c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</row>
    <row r="357" spans="2:54" ht="15" customHeight="1" x14ac:dyDescent="0.45">
      <c r="B357" s="40" t="s">
        <v>161</v>
      </c>
      <c r="C357" s="30"/>
      <c r="D357" s="17" t="str">
        <f>IF('TECHNOLOGY REGISTER'!D52="","",'TECHNOLOGY REGISTER'!D52)</f>
        <v/>
      </c>
      <c r="E357" s="30"/>
      <c r="F357" s="42"/>
      <c r="G357" s="30"/>
      <c r="H357" s="24" t="str">
        <f t="shared" si="1"/>
        <v/>
      </c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</row>
    <row r="358" spans="2:54" ht="15" customHeight="1" x14ac:dyDescent="0.45">
      <c r="B358" s="39" t="s">
        <v>161</v>
      </c>
      <c r="C358" s="29"/>
      <c r="D358" s="19" t="str">
        <f>IF('TECHNOLOGY REGISTER'!D53="","",'TECHNOLOGY REGISTER'!D53)</f>
        <v/>
      </c>
      <c r="E358" s="29"/>
      <c r="F358" s="41"/>
      <c r="G358" s="29"/>
      <c r="H358" s="32" t="str">
        <f t="shared" si="1"/>
        <v/>
      </c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</row>
    <row r="359" spans="2:54" ht="15" customHeight="1" x14ac:dyDescent="0.45">
      <c r="B359" s="40" t="s">
        <v>161</v>
      </c>
      <c r="C359" s="30"/>
      <c r="D359" s="17" t="str">
        <f>IF('TECHNOLOGY REGISTER'!D54="","",'TECHNOLOGY REGISTER'!D54)</f>
        <v/>
      </c>
      <c r="E359" s="30"/>
      <c r="F359" s="42"/>
      <c r="G359" s="30"/>
      <c r="H359" s="24" t="str">
        <f t="shared" si="1"/>
        <v/>
      </c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</row>
    <row r="360" spans="2:54" ht="15" customHeight="1" x14ac:dyDescent="0.45">
      <c r="B360" s="39" t="s">
        <v>161</v>
      </c>
      <c r="C360" s="29"/>
      <c r="D360" s="19" t="str">
        <f>IF('TECHNOLOGY REGISTER'!D55="","",'TECHNOLOGY REGISTER'!D55)</f>
        <v/>
      </c>
      <c r="E360" s="29"/>
      <c r="F360" s="41"/>
      <c r="G360" s="29"/>
      <c r="H360" s="32" t="str">
        <f t="shared" si="1"/>
        <v/>
      </c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</row>
    <row r="361" spans="2:54" ht="15" customHeight="1" thickBot="1" x14ac:dyDescent="0.5">
      <c r="B361" s="40" t="s">
        <v>161</v>
      </c>
      <c r="C361" s="30"/>
      <c r="D361" s="17" t="str">
        <f>IF('TECHNOLOGY REGISTER'!D56="","",'TECHNOLOGY REGISTER'!D56)</f>
        <v/>
      </c>
      <c r="E361" s="30"/>
      <c r="F361" s="42"/>
      <c r="G361" s="30"/>
      <c r="H361" s="24" t="str">
        <f t="shared" si="1"/>
        <v/>
      </c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</row>
    <row r="362" spans="2:54" customFormat="1" ht="20" customHeight="1" x14ac:dyDescent="0.5">
      <c r="B362" s="69" t="s">
        <v>164</v>
      </c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  <c r="AY362" s="69"/>
      <c r="AZ362" s="69"/>
      <c r="BA362" s="69"/>
      <c r="BB362" s="69"/>
    </row>
    <row r="363" spans="2:54" ht="17" customHeight="1" x14ac:dyDescent="0.45">
      <c r="B363" s="39" t="s">
        <v>161</v>
      </c>
      <c r="C363" s="29" t="s">
        <v>5</v>
      </c>
      <c r="D363" s="19" t="str">
        <f>IF('TECHNOLOGY REGISTER'!D7="","",'TECHNOLOGY REGISTER'!D7)</f>
        <v>Biomass</v>
      </c>
      <c r="E363" s="29" t="s">
        <v>53</v>
      </c>
      <c r="F363" s="41">
        <v>3</v>
      </c>
      <c r="G363" s="29" t="s">
        <v>29</v>
      </c>
      <c r="H363" s="32" t="str">
        <f>IF(E363="","",E363&amp;"/kWh")</f>
        <v>KES/kWh</v>
      </c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</row>
    <row r="364" spans="2:54" ht="17" customHeight="1" x14ac:dyDescent="0.45">
      <c r="B364" s="40" t="s">
        <v>161</v>
      </c>
      <c r="C364" s="30" t="s">
        <v>5</v>
      </c>
      <c r="D364" s="17" t="str">
        <f>IF('TECHNOLOGY REGISTER'!D8="","",'TECHNOLOGY REGISTER'!D8)</f>
        <v>Geothermal</v>
      </c>
      <c r="E364" s="30" t="s">
        <v>53</v>
      </c>
      <c r="F364" s="42">
        <v>3</v>
      </c>
      <c r="G364" s="30" t="s">
        <v>29</v>
      </c>
      <c r="H364" s="24" t="str">
        <f t="shared" ref="H364:H412" si="2">IF(E364="","",E364&amp;"/kWh")</f>
        <v>KES/kWh</v>
      </c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</row>
    <row r="365" spans="2:54" ht="17" customHeight="1" x14ac:dyDescent="0.45">
      <c r="B365" s="39" t="s">
        <v>161</v>
      </c>
      <c r="C365" s="29" t="s">
        <v>5</v>
      </c>
      <c r="D365" s="19" t="str">
        <f>IF('TECHNOLOGY REGISTER'!D9="","",'TECHNOLOGY REGISTER'!D9)</f>
        <v>Solar PV</v>
      </c>
      <c r="E365" s="29" t="s">
        <v>53</v>
      </c>
      <c r="F365" s="41">
        <v>3</v>
      </c>
      <c r="G365" s="29" t="s">
        <v>29</v>
      </c>
      <c r="H365" s="32" t="str">
        <f t="shared" si="2"/>
        <v>KES/kWh</v>
      </c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</row>
    <row r="366" spans="2:54" ht="17" customHeight="1" x14ac:dyDescent="0.45">
      <c r="B366" s="40" t="s">
        <v>161</v>
      </c>
      <c r="C366" s="30" t="s">
        <v>5</v>
      </c>
      <c r="D366" s="17" t="str">
        <f>IF('TECHNOLOGY REGISTER'!D10="","",'TECHNOLOGY REGISTER'!D10)</f>
        <v>CSP</v>
      </c>
      <c r="E366" s="30" t="s">
        <v>53</v>
      </c>
      <c r="F366" s="42">
        <v>3</v>
      </c>
      <c r="G366" s="30" t="s">
        <v>29</v>
      </c>
      <c r="H366" s="24" t="str">
        <f t="shared" si="2"/>
        <v>KES/kWh</v>
      </c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</row>
    <row r="367" spans="2:54" ht="17" customHeight="1" x14ac:dyDescent="0.45">
      <c r="B367" s="39" t="s">
        <v>161</v>
      </c>
      <c r="C367" s="29" t="s">
        <v>5</v>
      </c>
      <c r="D367" s="19" t="str">
        <f>IF('TECHNOLOGY REGISTER'!D11="","",'TECHNOLOGY REGISTER'!D11)</f>
        <v>Hydropower</v>
      </c>
      <c r="E367" s="29" t="s">
        <v>53</v>
      </c>
      <c r="F367" s="41">
        <v>3</v>
      </c>
      <c r="G367" s="29" t="s">
        <v>29</v>
      </c>
      <c r="H367" s="32" t="str">
        <f t="shared" si="2"/>
        <v>KES/kWh</v>
      </c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</row>
    <row r="368" spans="2:54" ht="17" customHeight="1" x14ac:dyDescent="0.45">
      <c r="B368" s="40" t="s">
        <v>161</v>
      </c>
      <c r="C368" s="30" t="s">
        <v>5</v>
      </c>
      <c r="D368" s="17" t="str">
        <f>IF('TECHNOLOGY REGISTER'!D12="","",'TECHNOLOGY REGISTER'!D12)</f>
        <v>Nuclear</v>
      </c>
      <c r="E368" s="30" t="s">
        <v>53</v>
      </c>
      <c r="F368" s="42">
        <v>3</v>
      </c>
      <c r="G368" s="30" t="s">
        <v>29</v>
      </c>
      <c r="H368" s="24" t="str">
        <f t="shared" si="2"/>
        <v>KES/kWh</v>
      </c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</row>
    <row r="369" spans="2:54" ht="17" customHeight="1" x14ac:dyDescent="0.45">
      <c r="B369" s="39" t="s">
        <v>161</v>
      </c>
      <c r="C369" s="29" t="s">
        <v>5</v>
      </c>
      <c r="D369" s="19" t="str">
        <f>IF('TECHNOLOGY REGISTER'!D13="","",'TECHNOLOGY REGISTER'!D13)</f>
        <v>Wind</v>
      </c>
      <c r="E369" s="29" t="s">
        <v>53</v>
      </c>
      <c r="F369" s="41">
        <v>3</v>
      </c>
      <c r="G369" s="29" t="s">
        <v>29</v>
      </c>
      <c r="H369" s="32" t="str">
        <f t="shared" si="2"/>
        <v>KES/kWh</v>
      </c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</row>
    <row r="370" spans="2:54" ht="17" customHeight="1" x14ac:dyDescent="0.45">
      <c r="B370" s="40" t="s">
        <v>161</v>
      </c>
      <c r="C370" s="30" t="s">
        <v>5</v>
      </c>
      <c r="D370" s="17" t="str">
        <f>IF('TECHNOLOGY REGISTER'!D14="","",'TECHNOLOGY REGISTER'!D14)</f>
        <v>Coal</v>
      </c>
      <c r="E370" s="30" t="s">
        <v>53</v>
      </c>
      <c r="F370" s="42">
        <v>3</v>
      </c>
      <c r="G370" s="30" t="s">
        <v>29</v>
      </c>
      <c r="H370" s="24" t="str">
        <f t="shared" si="2"/>
        <v>KES/kWh</v>
      </c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</row>
    <row r="371" spans="2:54" ht="17" customHeight="1" x14ac:dyDescent="0.45">
      <c r="B371" s="39" t="s">
        <v>161</v>
      </c>
      <c r="C371" s="29" t="s">
        <v>5</v>
      </c>
      <c r="D371" s="19" t="str">
        <f>IF('TECHNOLOGY REGISTER'!D15="","",'TECHNOLOGY REGISTER'!D15)</f>
        <v>Oil</v>
      </c>
      <c r="E371" s="29" t="s">
        <v>53</v>
      </c>
      <c r="F371" s="41">
        <v>3</v>
      </c>
      <c r="G371" s="29" t="s">
        <v>13</v>
      </c>
      <c r="H371" s="32" t="str">
        <f t="shared" si="2"/>
        <v>KES/kWh</v>
      </c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</row>
    <row r="372" spans="2:54" ht="17" customHeight="1" x14ac:dyDescent="0.45">
      <c r="B372" s="40" t="s">
        <v>161</v>
      </c>
      <c r="C372" s="30" t="s">
        <v>5</v>
      </c>
      <c r="D372" s="17" t="str">
        <f>IF('TECHNOLOGY REGISTER'!D16="","",'TECHNOLOGY REGISTER'!D16)</f>
        <v>Gas</v>
      </c>
      <c r="E372" s="30" t="s">
        <v>53</v>
      </c>
      <c r="F372" s="42" t="s">
        <v>71</v>
      </c>
      <c r="G372" s="30" t="s">
        <v>156</v>
      </c>
      <c r="H372" s="24" t="str">
        <f t="shared" si="2"/>
        <v>KES/kWh</v>
      </c>
      <c r="I372" s="37">
        <v>11.865508200000001</v>
      </c>
      <c r="J372" s="37">
        <v>11.865508200000001</v>
      </c>
      <c r="K372" s="37">
        <v>11.865508200000001</v>
      </c>
      <c r="L372" s="37">
        <v>11.865508200000001</v>
      </c>
      <c r="M372" s="37">
        <v>11.865508200000001</v>
      </c>
      <c r="N372" s="37">
        <v>11.865508200000001</v>
      </c>
      <c r="O372" s="37">
        <v>11.865508200000001</v>
      </c>
      <c r="P372" s="37">
        <v>11.865508200000001</v>
      </c>
      <c r="Q372" s="37">
        <v>11.865508200000001</v>
      </c>
      <c r="R372" s="37">
        <v>11.865508200000001</v>
      </c>
      <c r="S372" s="37">
        <v>11.865508200000001</v>
      </c>
      <c r="T372" s="37">
        <v>11.865508200000001</v>
      </c>
      <c r="U372" s="37">
        <v>11.865508200000001</v>
      </c>
      <c r="V372" s="37">
        <v>11.865508200000001</v>
      </c>
      <c r="W372" s="37">
        <v>11.865508200000001</v>
      </c>
      <c r="X372" s="37">
        <v>11.865508200000001</v>
      </c>
      <c r="Y372" s="37">
        <v>11.865508200000001</v>
      </c>
      <c r="Z372" s="37">
        <v>11.865508200000001</v>
      </c>
      <c r="AA372" s="37">
        <v>11.865508200000001</v>
      </c>
      <c r="AB372" s="37">
        <v>11.865508200000001</v>
      </c>
      <c r="AC372" s="37">
        <v>11.865508200000001</v>
      </c>
      <c r="AD372" s="37">
        <v>11.865508200000001</v>
      </c>
      <c r="AE372" s="37">
        <v>11.865508200000001</v>
      </c>
      <c r="AF372" s="37">
        <v>11.865508200000001</v>
      </c>
      <c r="AG372" s="37">
        <v>11.865508200000001</v>
      </c>
      <c r="AH372" s="37">
        <v>11.865508200000001</v>
      </c>
      <c r="AI372" s="37">
        <v>11.865508200000001</v>
      </c>
      <c r="AJ372" s="37">
        <v>11.865508200000001</v>
      </c>
      <c r="AK372" s="37">
        <v>11.865508200000001</v>
      </c>
      <c r="AL372" s="37">
        <v>11.865508200000001</v>
      </c>
      <c r="AM372" s="37">
        <v>11.865508200000001</v>
      </c>
      <c r="AN372" s="37">
        <v>11.865508200000001</v>
      </c>
      <c r="AO372" s="37">
        <v>11.865508200000001</v>
      </c>
      <c r="AP372" s="37">
        <v>11.865508200000001</v>
      </c>
      <c r="AQ372" s="37">
        <v>11.865508200000001</v>
      </c>
      <c r="AR372" s="37">
        <v>11.865508200000001</v>
      </c>
      <c r="AS372" s="37">
        <v>11.865508200000001</v>
      </c>
      <c r="AT372" s="37">
        <v>11.865508200000001</v>
      </c>
      <c r="AU372" s="37">
        <v>11.865508200000001</v>
      </c>
      <c r="AV372" s="37">
        <v>11.865508200000001</v>
      </c>
      <c r="AW372" s="37">
        <v>11.865508200000001</v>
      </c>
      <c r="AX372" s="37">
        <v>11.865508200000001</v>
      </c>
      <c r="AY372" s="37">
        <v>11.865508200000001</v>
      </c>
      <c r="AZ372" s="37">
        <v>11.865508200000001</v>
      </c>
      <c r="BA372" s="37">
        <v>11.865508200000001</v>
      </c>
      <c r="BB372" s="37">
        <v>11.865508200000001</v>
      </c>
    </row>
    <row r="373" spans="2:54" ht="17" customHeight="1" x14ac:dyDescent="0.45">
      <c r="B373" s="39" t="s">
        <v>161</v>
      </c>
      <c r="C373" s="29" t="s">
        <v>5</v>
      </c>
      <c r="D373" s="19" t="str">
        <f>IF('TECHNOLOGY REGISTER'!D17="","",'TECHNOLOGY REGISTER'!D17)</f>
        <v>Transmission</v>
      </c>
      <c r="E373" s="29" t="s">
        <v>53</v>
      </c>
      <c r="F373" s="41">
        <v>3</v>
      </c>
      <c r="G373" s="29" t="s">
        <v>29</v>
      </c>
      <c r="H373" s="32" t="str">
        <f t="shared" si="2"/>
        <v>KES/kWh</v>
      </c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</row>
    <row r="374" spans="2:54" ht="17" customHeight="1" x14ac:dyDescent="0.45">
      <c r="B374" s="40" t="s">
        <v>161</v>
      </c>
      <c r="C374" s="30" t="s">
        <v>5</v>
      </c>
      <c r="D374" s="17" t="str">
        <f>IF('TECHNOLOGY REGISTER'!D18="","",'TECHNOLOGY REGISTER'!D18)</f>
        <v>Distribution</v>
      </c>
      <c r="E374" s="30" t="s">
        <v>53</v>
      </c>
      <c r="F374" s="42">
        <v>3</v>
      </c>
      <c r="G374" s="30" t="s">
        <v>29</v>
      </c>
      <c r="H374" s="24" t="str">
        <f t="shared" si="2"/>
        <v>KES/kWh</v>
      </c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</row>
    <row r="375" spans="2:54" ht="17" customHeight="1" x14ac:dyDescent="0.45">
      <c r="B375" s="39" t="s">
        <v>161</v>
      </c>
      <c r="C375" s="29"/>
      <c r="D375" s="19" t="str">
        <f>IF('TECHNOLOGY REGISTER'!D19="","",'TECHNOLOGY REGISTER'!D19)</f>
        <v>Imports</v>
      </c>
      <c r="E375" s="29"/>
      <c r="F375" s="41"/>
      <c r="G375" s="29"/>
      <c r="H375" s="32" t="str">
        <f t="shared" si="2"/>
        <v/>
      </c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</row>
    <row r="376" spans="2:54" ht="17" customHeight="1" x14ac:dyDescent="0.45">
      <c r="B376" s="40" t="s">
        <v>161</v>
      </c>
      <c r="C376" s="30"/>
      <c r="D376" s="17" t="str">
        <f>IF('TECHNOLOGY REGISTER'!D20="","",'TECHNOLOGY REGISTER'!D20)</f>
        <v>Energy Exports</v>
      </c>
      <c r="E376" s="30"/>
      <c r="F376" s="42"/>
      <c r="G376" s="30"/>
      <c r="H376" s="24" t="str">
        <f t="shared" si="2"/>
        <v/>
      </c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</row>
    <row r="377" spans="2:54" ht="17" customHeight="1" x14ac:dyDescent="0.45">
      <c r="B377" s="39" t="s">
        <v>161</v>
      </c>
      <c r="C377" s="29"/>
      <c r="D377" s="19" t="str">
        <f>IF('TECHNOLOGY REGISTER'!D21="","",'TECHNOLOGY REGISTER'!D21)</f>
        <v>Direct Solar</v>
      </c>
      <c r="E377" s="29"/>
      <c r="F377" s="41"/>
      <c r="G377" s="29"/>
      <c r="H377" s="32" t="str">
        <f t="shared" si="2"/>
        <v/>
      </c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</row>
    <row r="378" spans="2:54" ht="15" customHeight="1" x14ac:dyDescent="0.45">
      <c r="B378" s="40" t="s">
        <v>161</v>
      </c>
      <c r="C378" s="30"/>
      <c r="D378" s="17" t="str">
        <f>IF('TECHNOLOGY REGISTER'!D22="","",'TECHNOLOGY REGISTER'!D22)</f>
        <v>Direct Oil</v>
      </c>
      <c r="E378" s="30"/>
      <c r="F378" s="42"/>
      <c r="G378" s="30"/>
      <c r="H378" s="24" t="str">
        <f t="shared" si="2"/>
        <v/>
      </c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</row>
    <row r="379" spans="2:54" ht="15" customHeight="1" x14ac:dyDescent="0.45">
      <c r="B379" s="39" t="s">
        <v>161</v>
      </c>
      <c r="C379" s="29"/>
      <c r="D379" s="19" t="str">
        <f>IF('TECHNOLOGY REGISTER'!D23="","",'TECHNOLOGY REGISTER'!D23)</f>
        <v>Direct Hydro</v>
      </c>
      <c r="E379" s="29"/>
      <c r="F379" s="41"/>
      <c r="G379" s="29"/>
      <c r="H379" s="32" t="str">
        <f t="shared" si="2"/>
        <v/>
      </c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</row>
    <row r="380" spans="2:54" ht="15" customHeight="1" x14ac:dyDescent="0.45">
      <c r="B380" s="40" t="s">
        <v>161</v>
      </c>
      <c r="C380" s="30"/>
      <c r="D380" s="17" t="str">
        <f>IF('TECHNOLOGY REGISTER'!D24="","",'TECHNOLOGY REGISTER'!D24)</f>
        <v/>
      </c>
      <c r="E380" s="30"/>
      <c r="F380" s="42"/>
      <c r="G380" s="30"/>
      <c r="H380" s="24" t="str">
        <f t="shared" si="2"/>
        <v/>
      </c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</row>
    <row r="381" spans="2:54" ht="15" customHeight="1" x14ac:dyDescent="0.45">
      <c r="B381" s="39" t="s">
        <v>161</v>
      </c>
      <c r="C381" s="29"/>
      <c r="D381" s="19" t="str">
        <f>IF('TECHNOLOGY REGISTER'!D25="","",'TECHNOLOGY REGISTER'!D25)</f>
        <v/>
      </c>
      <c r="E381" s="29"/>
      <c r="F381" s="41"/>
      <c r="G381" s="29"/>
      <c r="H381" s="32" t="str">
        <f t="shared" si="2"/>
        <v/>
      </c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</row>
    <row r="382" spans="2:54" ht="15" customHeight="1" x14ac:dyDescent="0.45">
      <c r="B382" s="40" t="s">
        <v>161</v>
      </c>
      <c r="C382" s="30"/>
      <c r="D382" s="17" t="str">
        <f>IF('TECHNOLOGY REGISTER'!D26="","",'TECHNOLOGY REGISTER'!D26)</f>
        <v/>
      </c>
      <c r="E382" s="30"/>
      <c r="F382" s="42"/>
      <c r="G382" s="30"/>
      <c r="H382" s="24" t="str">
        <f t="shared" si="2"/>
        <v/>
      </c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</row>
    <row r="383" spans="2:54" ht="15" customHeight="1" x14ac:dyDescent="0.45">
      <c r="B383" s="39" t="s">
        <v>161</v>
      </c>
      <c r="C383" s="29"/>
      <c r="D383" s="19" t="str">
        <f>IF('TECHNOLOGY REGISTER'!D27="","",'TECHNOLOGY REGISTER'!D27)</f>
        <v/>
      </c>
      <c r="E383" s="29"/>
      <c r="F383" s="41"/>
      <c r="G383" s="29"/>
      <c r="H383" s="32" t="str">
        <f t="shared" si="2"/>
        <v/>
      </c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</row>
    <row r="384" spans="2:54" ht="15" customHeight="1" x14ac:dyDescent="0.45">
      <c r="B384" s="40" t="s">
        <v>161</v>
      </c>
      <c r="C384" s="30"/>
      <c r="D384" s="17" t="str">
        <f>IF('TECHNOLOGY REGISTER'!D28="","",'TECHNOLOGY REGISTER'!D28)</f>
        <v/>
      </c>
      <c r="E384" s="30"/>
      <c r="F384" s="42"/>
      <c r="G384" s="30"/>
      <c r="H384" s="24" t="str">
        <f t="shared" si="2"/>
        <v/>
      </c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</row>
    <row r="385" spans="2:54" ht="15" customHeight="1" x14ac:dyDescent="0.45">
      <c r="B385" s="39" t="s">
        <v>161</v>
      </c>
      <c r="C385" s="29"/>
      <c r="D385" s="19" t="str">
        <f>IF('TECHNOLOGY REGISTER'!D29="","",'TECHNOLOGY REGISTER'!D29)</f>
        <v/>
      </c>
      <c r="E385" s="29"/>
      <c r="F385" s="41"/>
      <c r="G385" s="29"/>
      <c r="H385" s="32" t="str">
        <f t="shared" si="2"/>
        <v/>
      </c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</row>
    <row r="386" spans="2:54" ht="15" customHeight="1" x14ac:dyDescent="0.45">
      <c r="B386" s="40" t="s">
        <v>161</v>
      </c>
      <c r="C386" s="30"/>
      <c r="D386" s="17" t="str">
        <f>IF('TECHNOLOGY REGISTER'!D30="","",'TECHNOLOGY REGISTER'!D30)</f>
        <v/>
      </c>
      <c r="E386" s="30"/>
      <c r="F386" s="42"/>
      <c r="G386" s="30"/>
      <c r="H386" s="24" t="str">
        <f t="shared" si="2"/>
        <v/>
      </c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</row>
    <row r="387" spans="2:54" ht="15" customHeight="1" x14ac:dyDescent="0.45">
      <c r="B387" s="39" t="s">
        <v>161</v>
      </c>
      <c r="C387" s="29"/>
      <c r="D387" s="19" t="str">
        <f>IF('TECHNOLOGY REGISTER'!D31="","",'TECHNOLOGY REGISTER'!D31)</f>
        <v/>
      </c>
      <c r="E387" s="29"/>
      <c r="F387" s="41"/>
      <c r="G387" s="29"/>
      <c r="H387" s="32" t="str">
        <f t="shared" si="2"/>
        <v/>
      </c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</row>
    <row r="388" spans="2:54" ht="15" customHeight="1" x14ac:dyDescent="0.45">
      <c r="B388" s="40" t="s">
        <v>161</v>
      </c>
      <c r="C388" s="30"/>
      <c r="D388" s="17" t="str">
        <f>IF('TECHNOLOGY REGISTER'!D32="","",'TECHNOLOGY REGISTER'!D32)</f>
        <v/>
      </c>
      <c r="E388" s="30"/>
      <c r="F388" s="42"/>
      <c r="G388" s="30"/>
      <c r="H388" s="24" t="str">
        <f t="shared" si="2"/>
        <v/>
      </c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</row>
    <row r="389" spans="2:54" ht="15" customHeight="1" x14ac:dyDescent="0.45">
      <c r="B389" s="39" t="s">
        <v>161</v>
      </c>
      <c r="C389" s="29"/>
      <c r="D389" s="19" t="str">
        <f>IF('TECHNOLOGY REGISTER'!D33="","",'TECHNOLOGY REGISTER'!D33)</f>
        <v/>
      </c>
      <c r="E389" s="29"/>
      <c r="F389" s="41"/>
      <c r="G389" s="29"/>
      <c r="H389" s="32" t="str">
        <f t="shared" si="2"/>
        <v/>
      </c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</row>
    <row r="390" spans="2:54" ht="15" customHeight="1" x14ac:dyDescent="0.45">
      <c r="B390" s="40" t="s">
        <v>161</v>
      </c>
      <c r="C390" s="30"/>
      <c r="D390" s="17" t="str">
        <f>IF('TECHNOLOGY REGISTER'!D34="","",'TECHNOLOGY REGISTER'!D34)</f>
        <v/>
      </c>
      <c r="E390" s="30"/>
      <c r="F390" s="42"/>
      <c r="G390" s="30"/>
      <c r="H390" s="24" t="str">
        <f t="shared" si="2"/>
        <v/>
      </c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</row>
    <row r="391" spans="2:54" ht="15" customHeight="1" x14ac:dyDescent="0.45">
      <c r="B391" s="39" t="s">
        <v>161</v>
      </c>
      <c r="C391" s="29"/>
      <c r="D391" s="19" t="str">
        <f>IF('TECHNOLOGY REGISTER'!D35="","",'TECHNOLOGY REGISTER'!D35)</f>
        <v/>
      </c>
      <c r="E391" s="29"/>
      <c r="F391" s="41"/>
      <c r="G391" s="29"/>
      <c r="H391" s="32" t="str">
        <f t="shared" si="2"/>
        <v/>
      </c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</row>
    <row r="392" spans="2:54" ht="15" customHeight="1" x14ac:dyDescent="0.45">
      <c r="B392" s="40" t="s">
        <v>161</v>
      </c>
      <c r="C392" s="30"/>
      <c r="D392" s="17" t="str">
        <f>IF('TECHNOLOGY REGISTER'!D36="","",'TECHNOLOGY REGISTER'!D36)</f>
        <v/>
      </c>
      <c r="E392" s="30"/>
      <c r="F392" s="42"/>
      <c r="G392" s="30"/>
      <c r="H392" s="24" t="str">
        <f t="shared" si="2"/>
        <v/>
      </c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</row>
    <row r="393" spans="2:54" ht="15" customHeight="1" x14ac:dyDescent="0.45">
      <c r="B393" s="39" t="s">
        <v>161</v>
      </c>
      <c r="C393" s="29"/>
      <c r="D393" s="19" t="str">
        <f>IF('TECHNOLOGY REGISTER'!D37="","",'TECHNOLOGY REGISTER'!D37)</f>
        <v/>
      </c>
      <c r="E393" s="29"/>
      <c r="F393" s="41"/>
      <c r="G393" s="29"/>
      <c r="H393" s="32" t="str">
        <f t="shared" si="2"/>
        <v/>
      </c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</row>
    <row r="394" spans="2:54" ht="15" customHeight="1" x14ac:dyDescent="0.45">
      <c r="B394" s="40" t="s">
        <v>161</v>
      </c>
      <c r="C394" s="30"/>
      <c r="D394" s="17" t="str">
        <f>IF('TECHNOLOGY REGISTER'!D38="","",'TECHNOLOGY REGISTER'!D38)</f>
        <v/>
      </c>
      <c r="E394" s="30"/>
      <c r="F394" s="42"/>
      <c r="G394" s="30"/>
      <c r="H394" s="24" t="str">
        <f t="shared" si="2"/>
        <v/>
      </c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</row>
    <row r="395" spans="2:54" ht="15" customHeight="1" x14ac:dyDescent="0.45">
      <c r="B395" s="39" t="s">
        <v>161</v>
      </c>
      <c r="C395" s="29"/>
      <c r="D395" s="19" t="str">
        <f>IF('TECHNOLOGY REGISTER'!D39="","",'TECHNOLOGY REGISTER'!D39)</f>
        <v/>
      </c>
      <c r="E395" s="29"/>
      <c r="F395" s="41"/>
      <c r="G395" s="29"/>
      <c r="H395" s="32" t="str">
        <f t="shared" si="2"/>
        <v/>
      </c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</row>
    <row r="396" spans="2:54" ht="15" customHeight="1" x14ac:dyDescent="0.45">
      <c r="B396" s="40" t="s">
        <v>161</v>
      </c>
      <c r="C396" s="30"/>
      <c r="D396" s="17" t="str">
        <f>IF('TECHNOLOGY REGISTER'!D40="","",'TECHNOLOGY REGISTER'!D40)</f>
        <v/>
      </c>
      <c r="E396" s="30"/>
      <c r="F396" s="42"/>
      <c r="G396" s="30"/>
      <c r="H396" s="24" t="str">
        <f t="shared" si="2"/>
        <v/>
      </c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</row>
    <row r="397" spans="2:54" ht="15" customHeight="1" x14ac:dyDescent="0.45">
      <c r="B397" s="39" t="s">
        <v>161</v>
      </c>
      <c r="C397" s="29"/>
      <c r="D397" s="19" t="str">
        <f>IF('TECHNOLOGY REGISTER'!D41="","",'TECHNOLOGY REGISTER'!D41)</f>
        <v/>
      </c>
      <c r="E397" s="29"/>
      <c r="F397" s="41"/>
      <c r="G397" s="29"/>
      <c r="H397" s="32" t="str">
        <f t="shared" si="2"/>
        <v/>
      </c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</row>
    <row r="398" spans="2:54" ht="15" customHeight="1" x14ac:dyDescent="0.45">
      <c r="B398" s="40" t="s">
        <v>161</v>
      </c>
      <c r="C398" s="30"/>
      <c r="D398" s="17" t="str">
        <f>IF('TECHNOLOGY REGISTER'!D42="","",'TECHNOLOGY REGISTER'!D42)</f>
        <v/>
      </c>
      <c r="E398" s="30"/>
      <c r="F398" s="42"/>
      <c r="G398" s="30"/>
      <c r="H398" s="24" t="str">
        <f t="shared" si="2"/>
        <v/>
      </c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</row>
    <row r="399" spans="2:54" ht="15" customHeight="1" x14ac:dyDescent="0.45">
      <c r="B399" s="39" t="s">
        <v>161</v>
      </c>
      <c r="C399" s="29"/>
      <c r="D399" s="19" t="str">
        <f>IF('TECHNOLOGY REGISTER'!D43="","",'TECHNOLOGY REGISTER'!D43)</f>
        <v/>
      </c>
      <c r="E399" s="29"/>
      <c r="F399" s="41"/>
      <c r="G399" s="29"/>
      <c r="H399" s="32" t="str">
        <f t="shared" si="2"/>
        <v/>
      </c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</row>
    <row r="400" spans="2:54" ht="15" customHeight="1" x14ac:dyDescent="0.45">
      <c r="B400" s="40" t="s">
        <v>161</v>
      </c>
      <c r="C400" s="30"/>
      <c r="D400" s="17" t="str">
        <f>IF('TECHNOLOGY REGISTER'!D44="","",'TECHNOLOGY REGISTER'!D44)</f>
        <v/>
      </c>
      <c r="E400" s="30"/>
      <c r="F400" s="42"/>
      <c r="G400" s="30"/>
      <c r="H400" s="24" t="str">
        <f t="shared" si="2"/>
        <v/>
      </c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</row>
    <row r="401" spans="2:54" ht="15" customHeight="1" x14ac:dyDescent="0.45">
      <c r="B401" s="39" t="s">
        <v>161</v>
      </c>
      <c r="C401" s="29"/>
      <c r="D401" s="19" t="str">
        <f>IF('TECHNOLOGY REGISTER'!D45="","",'TECHNOLOGY REGISTER'!D45)</f>
        <v/>
      </c>
      <c r="E401" s="29"/>
      <c r="F401" s="41"/>
      <c r="G401" s="29"/>
      <c r="H401" s="32" t="str">
        <f t="shared" si="2"/>
        <v/>
      </c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</row>
    <row r="402" spans="2:54" ht="15" customHeight="1" x14ac:dyDescent="0.45">
      <c r="B402" s="40" t="s">
        <v>161</v>
      </c>
      <c r="C402" s="30"/>
      <c r="D402" s="17" t="str">
        <f>IF('TECHNOLOGY REGISTER'!D46="","",'TECHNOLOGY REGISTER'!D46)</f>
        <v/>
      </c>
      <c r="E402" s="30"/>
      <c r="F402" s="42"/>
      <c r="G402" s="30"/>
      <c r="H402" s="24" t="str">
        <f t="shared" si="2"/>
        <v/>
      </c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</row>
    <row r="403" spans="2:54" ht="15" customHeight="1" x14ac:dyDescent="0.45">
      <c r="B403" s="39" t="s">
        <v>161</v>
      </c>
      <c r="C403" s="29"/>
      <c r="D403" s="19" t="str">
        <f>IF('TECHNOLOGY REGISTER'!D47="","",'TECHNOLOGY REGISTER'!D47)</f>
        <v/>
      </c>
      <c r="E403" s="29"/>
      <c r="F403" s="41"/>
      <c r="G403" s="29"/>
      <c r="H403" s="32" t="str">
        <f t="shared" si="2"/>
        <v/>
      </c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</row>
    <row r="404" spans="2:54" ht="15" customHeight="1" x14ac:dyDescent="0.45">
      <c r="B404" s="40" t="s">
        <v>161</v>
      </c>
      <c r="C404" s="30"/>
      <c r="D404" s="17" t="str">
        <f>IF('TECHNOLOGY REGISTER'!D48="","",'TECHNOLOGY REGISTER'!D48)</f>
        <v/>
      </c>
      <c r="E404" s="30"/>
      <c r="F404" s="42"/>
      <c r="G404" s="30"/>
      <c r="H404" s="24" t="str">
        <f t="shared" si="2"/>
        <v/>
      </c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</row>
    <row r="405" spans="2:54" ht="15" customHeight="1" x14ac:dyDescent="0.45">
      <c r="B405" s="39" t="s">
        <v>161</v>
      </c>
      <c r="C405" s="29"/>
      <c r="D405" s="19" t="str">
        <f>IF('TECHNOLOGY REGISTER'!D49="","",'TECHNOLOGY REGISTER'!D49)</f>
        <v/>
      </c>
      <c r="E405" s="29"/>
      <c r="F405" s="41"/>
      <c r="G405" s="29"/>
      <c r="H405" s="32" t="str">
        <f t="shared" si="2"/>
        <v/>
      </c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</row>
    <row r="406" spans="2:54" ht="15" customHeight="1" x14ac:dyDescent="0.45">
      <c r="B406" s="40" t="s">
        <v>161</v>
      </c>
      <c r="C406" s="30"/>
      <c r="D406" s="17" t="str">
        <f>IF('TECHNOLOGY REGISTER'!D50="","",'TECHNOLOGY REGISTER'!D50)</f>
        <v/>
      </c>
      <c r="E406" s="30"/>
      <c r="F406" s="42"/>
      <c r="G406" s="30"/>
      <c r="H406" s="24" t="str">
        <f t="shared" si="2"/>
        <v/>
      </c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</row>
    <row r="407" spans="2:54" ht="15" customHeight="1" x14ac:dyDescent="0.45">
      <c r="B407" s="39" t="s">
        <v>161</v>
      </c>
      <c r="C407" s="29"/>
      <c r="D407" s="19" t="str">
        <f>IF('TECHNOLOGY REGISTER'!D51="","",'TECHNOLOGY REGISTER'!D51)</f>
        <v/>
      </c>
      <c r="E407" s="29"/>
      <c r="F407" s="41"/>
      <c r="G407" s="29"/>
      <c r="H407" s="32" t="str">
        <f t="shared" si="2"/>
        <v/>
      </c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</row>
    <row r="408" spans="2:54" ht="15" customHeight="1" x14ac:dyDescent="0.45">
      <c r="B408" s="40" t="s">
        <v>161</v>
      </c>
      <c r="C408" s="30"/>
      <c r="D408" s="17" t="str">
        <f>IF('TECHNOLOGY REGISTER'!D52="","",'TECHNOLOGY REGISTER'!D52)</f>
        <v/>
      </c>
      <c r="E408" s="30"/>
      <c r="F408" s="42"/>
      <c r="G408" s="30"/>
      <c r="H408" s="24" t="str">
        <f t="shared" si="2"/>
        <v/>
      </c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</row>
    <row r="409" spans="2:54" ht="15" customHeight="1" x14ac:dyDescent="0.45">
      <c r="B409" s="39" t="s">
        <v>161</v>
      </c>
      <c r="C409" s="29"/>
      <c r="D409" s="19" t="str">
        <f>IF('TECHNOLOGY REGISTER'!D53="","",'TECHNOLOGY REGISTER'!D53)</f>
        <v/>
      </c>
      <c r="E409" s="29"/>
      <c r="F409" s="41"/>
      <c r="G409" s="29"/>
      <c r="H409" s="32" t="str">
        <f t="shared" si="2"/>
        <v/>
      </c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</row>
    <row r="410" spans="2:54" ht="15" customHeight="1" x14ac:dyDescent="0.45">
      <c r="B410" s="40" t="s">
        <v>161</v>
      </c>
      <c r="C410" s="30"/>
      <c r="D410" s="17" t="str">
        <f>IF('TECHNOLOGY REGISTER'!D54="","",'TECHNOLOGY REGISTER'!D54)</f>
        <v/>
      </c>
      <c r="E410" s="30"/>
      <c r="F410" s="42"/>
      <c r="G410" s="30"/>
      <c r="H410" s="24" t="str">
        <f t="shared" si="2"/>
        <v/>
      </c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</row>
    <row r="411" spans="2:54" ht="15" customHeight="1" x14ac:dyDescent="0.45">
      <c r="B411" s="39" t="s">
        <v>161</v>
      </c>
      <c r="C411" s="29"/>
      <c r="D411" s="19" t="str">
        <f>IF('TECHNOLOGY REGISTER'!D55="","",'TECHNOLOGY REGISTER'!D55)</f>
        <v/>
      </c>
      <c r="E411" s="29"/>
      <c r="F411" s="41"/>
      <c r="G411" s="29"/>
      <c r="H411" s="32" t="str">
        <f t="shared" si="2"/>
        <v/>
      </c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</row>
    <row r="412" spans="2:54" ht="15" customHeight="1" thickBot="1" x14ac:dyDescent="0.5">
      <c r="B412" s="40" t="s">
        <v>161</v>
      </c>
      <c r="C412" s="30"/>
      <c r="D412" s="17" t="str">
        <f>IF('TECHNOLOGY REGISTER'!D56="","",'TECHNOLOGY REGISTER'!D56)</f>
        <v/>
      </c>
      <c r="E412" s="30"/>
      <c r="F412" s="42"/>
      <c r="G412" s="30"/>
      <c r="H412" s="24" t="str">
        <f t="shared" si="2"/>
        <v/>
      </c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</row>
    <row r="413" spans="2:54" customFormat="1" ht="20" customHeight="1" x14ac:dyDescent="0.5">
      <c r="B413" s="69" t="s">
        <v>165</v>
      </c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  <c r="AY413" s="69"/>
      <c r="AZ413" s="69"/>
      <c r="BA413" s="69"/>
      <c r="BB413" s="69"/>
    </row>
    <row r="414" spans="2:54" ht="17" customHeight="1" x14ac:dyDescent="0.45">
      <c r="B414" s="39" t="s">
        <v>161</v>
      </c>
      <c r="C414" s="29" t="s">
        <v>5</v>
      </c>
      <c r="D414" s="19" t="str">
        <f>IF('TECHNOLOGY REGISTER'!D7="","",'TECHNOLOGY REGISTER'!D7)</f>
        <v>Biomass</v>
      </c>
      <c r="E414" s="29" t="s">
        <v>53</v>
      </c>
      <c r="F414" s="41"/>
      <c r="G414" s="29" t="s">
        <v>29</v>
      </c>
      <c r="H414" s="32" t="str">
        <f>IF(E414="","",E414&amp;"/kWh")</f>
        <v>KES/kWh</v>
      </c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</row>
    <row r="415" spans="2:54" ht="17" customHeight="1" x14ac:dyDescent="0.45">
      <c r="B415" s="40" t="s">
        <v>161</v>
      </c>
      <c r="C415" s="30" t="s">
        <v>5</v>
      </c>
      <c r="D415" s="17" t="str">
        <f>IF('TECHNOLOGY REGISTER'!D8="","",'TECHNOLOGY REGISTER'!D8)</f>
        <v>Geothermal</v>
      </c>
      <c r="E415" s="30" t="s">
        <v>53</v>
      </c>
      <c r="F415" s="42"/>
      <c r="G415" s="30" t="s">
        <v>29</v>
      </c>
      <c r="H415" s="24" t="str">
        <f t="shared" ref="H415:H463" si="3">IF(E415="","",E415&amp;"/kWh")</f>
        <v>KES/kWh</v>
      </c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</row>
    <row r="416" spans="2:54" ht="17" customHeight="1" x14ac:dyDescent="0.45">
      <c r="B416" s="39" t="s">
        <v>161</v>
      </c>
      <c r="C416" s="29" t="s">
        <v>5</v>
      </c>
      <c r="D416" s="19" t="str">
        <f>IF('TECHNOLOGY REGISTER'!D9="","",'TECHNOLOGY REGISTER'!D9)</f>
        <v>Solar PV</v>
      </c>
      <c r="E416" s="29" t="s">
        <v>53</v>
      </c>
      <c r="F416" s="41"/>
      <c r="G416" s="29" t="s">
        <v>29</v>
      </c>
      <c r="H416" s="32" t="str">
        <f t="shared" si="3"/>
        <v>KES/kWh</v>
      </c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</row>
    <row r="417" spans="2:54" ht="17" customHeight="1" x14ac:dyDescent="0.45">
      <c r="B417" s="40" t="s">
        <v>161</v>
      </c>
      <c r="C417" s="30" t="s">
        <v>5</v>
      </c>
      <c r="D417" s="17" t="str">
        <f>IF('TECHNOLOGY REGISTER'!D10="","",'TECHNOLOGY REGISTER'!D10)</f>
        <v>CSP</v>
      </c>
      <c r="E417" s="30" t="s">
        <v>53</v>
      </c>
      <c r="F417" s="42"/>
      <c r="G417" s="30" t="s">
        <v>29</v>
      </c>
      <c r="H417" s="24" t="str">
        <f t="shared" si="3"/>
        <v>KES/kWh</v>
      </c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</row>
    <row r="418" spans="2:54" ht="17" customHeight="1" x14ac:dyDescent="0.45">
      <c r="B418" s="39" t="s">
        <v>161</v>
      </c>
      <c r="C418" s="29" t="s">
        <v>5</v>
      </c>
      <c r="D418" s="19" t="str">
        <f>IF('TECHNOLOGY REGISTER'!D11="","",'TECHNOLOGY REGISTER'!D11)</f>
        <v>Hydropower</v>
      </c>
      <c r="E418" s="29" t="s">
        <v>53</v>
      </c>
      <c r="F418" s="41"/>
      <c r="G418" s="29" t="s">
        <v>29</v>
      </c>
      <c r="H418" s="32" t="str">
        <f t="shared" si="3"/>
        <v>KES/kWh</v>
      </c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</row>
    <row r="419" spans="2:54" ht="17" customHeight="1" x14ac:dyDescent="0.45">
      <c r="B419" s="40" t="s">
        <v>161</v>
      </c>
      <c r="C419" s="30" t="s">
        <v>5</v>
      </c>
      <c r="D419" s="17" t="str">
        <f>IF('TECHNOLOGY REGISTER'!D12="","",'TECHNOLOGY REGISTER'!D12)</f>
        <v>Nuclear</v>
      </c>
      <c r="E419" s="30" t="s">
        <v>53</v>
      </c>
      <c r="F419" s="42"/>
      <c r="G419" s="30" t="s">
        <v>29</v>
      </c>
      <c r="H419" s="24" t="str">
        <f t="shared" si="3"/>
        <v>KES/kWh</v>
      </c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</row>
    <row r="420" spans="2:54" ht="17" customHeight="1" x14ac:dyDescent="0.45">
      <c r="B420" s="39" t="s">
        <v>161</v>
      </c>
      <c r="C420" s="29" t="s">
        <v>5</v>
      </c>
      <c r="D420" s="19" t="str">
        <f>IF('TECHNOLOGY REGISTER'!D13="","",'TECHNOLOGY REGISTER'!D13)</f>
        <v>Wind</v>
      </c>
      <c r="E420" s="29" t="s">
        <v>53</v>
      </c>
      <c r="F420" s="41"/>
      <c r="G420" s="29" t="s">
        <v>29</v>
      </c>
      <c r="H420" s="32" t="str">
        <f t="shared" si="3"/>
        <v>KES/kWh</v>
      </c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</row>
    <row r="421" spans="2:54" ht="17" customHeight="1" x14ac:dyDescent="0.45">
      <c r="B421" s="40" t="s">
        <v>161</v>
      </c>
      <c r="C421" s="30" t="s">
        <v>5</v>
      </c>
      <c r="D421" s="17" t="str">
        <f>IF('TECHNOLOGY REGISTER'!D14="","",'TECHNOLOGY REGISTER'!D14)</f>
        <v>Coal</v>
      </c>
      <c r="E421" s="30" t="s">
        <v>53</v>
      </c>
      <c r="F421" s="42"/>
      <c r="G421" s="30" t="s">
        <v>29</v>
      </c>
      <c r="H421" s="24" t="str">
        <f t="shared" si="3"/>
        <v>KES/kWh</v>
      </c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</row>
    <row r="422" spans="2:54" ht="17" customHeight="1" x14ac:dyDescent="0.45">
      <c r="B422" s="39" t="s">
        <v>161</v>
      </c>
      <c r="C422" s="29" t="s">
        <v>5</v>
      </c>
      <c r="D422" s="19" t="str">
        <f>IF('TECHNOLOGY REGISTER'!D15="","",'TECHNOLOGY REGISTER'!D15)</f>
        <v>Oil</v>
      </c>
      <c r="E422" s="29" t="s">
        <v>53</v>
      </c>
      <c r="F422" s="41"/>
      <c r="G422" s="29" t="s">
        <v>13</v>
      </c>
      <c r="H422" s="32" t="str">
        <f t="shared" si="3"/>
        <v>KES/kWh</v>
      </c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</row>
    <row r="423" spans="2:54" ht="17" customHeight="1" x14ac:dyDescent="0.45">
      <c r="B423" s="40" t="s">
        <v>161</v>
      </c>
      <c r="C423" s="30" t="s">
        <v>5</v>
      </c>
      <c r="D423" s="17" t="str">
        <f>IF('TECHNOLOGY REGISTER'!D16="","",'TECHNOLOGY REGISTER'!D16)</f>
        <v>Gas</v>
      </c>
      <c r="E423" s="30" t="s">
        <v>53</v>
      </c>
      <c r="F423" s="42"/>
      <c r="G423" s="30" t="s">
        <v>156</v>
      </c>
      <c r="H423" s="24" t="str">
        <f t="shared" si="3"/>
        <v>KES/kWh</v>
      </c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</row>
    <row r="424" spans="2:54" ht="17" customHeight="1" x14ac:dyDescent="0.45">
      <c r="B424" s="39" t="s">
        <v>161</v>
      </c>
      <c r="C424" s="29" t="s">
        <v>5</v>
      </c>
      <c r="D424" s="19" t="str">
        <f>IF('TECHNOLOGY REGISTER'!D17="","",'TECHNOLOGY REGISTER'!D17)</f>
        <v>Transmission</v>
      </c>
      <c r="E424" s="29" t="s">
        <v>53</v>
      </c>
      <c r="F424" s="41"/>
      <c r="G424" s="29" t="s">
        <v>29</v>
      </c>
      <c r="H424" s="32" t="str">
        <f t="shared" si="3"/>
        <v>KES/kWh</v>
      </c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</row>
    <row r="425" spans="2:54" ht="17" customHeight="1" x14ac:dyDescent="0.45">
      <c r="B425" s="40" t="s">
        <v>161</v>
      </c>
      <c r="C425" s="30" t="s">
        <v>5</v>
      </c>
      <c r="D425" s="17" t="str">
        <f>IF('TECHNOLOGY REGISTER'!D18="","",'TECHNOLOGY REGISTER'!D18)</f>
        <v>Distribution</v>
      </c>
      <c r="E425" s="30" t="s">
        <v>53</v>
      </c>
      <c r="F425" s="42"/>
      <c r="G425" s="30" t="s">
        <v>29</v>
      </c>
      <c r="H425" s="24" t="str">
        <f t="shared" si="3"/>
        <v>KES/kWh</v>
      </c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</row>
    <row r="426" spans="2:54" ht="17" customHeight="1" x14ac:dyDescent="0.45">
      <c r="B426" s="39" t="s">
        <v>161</v>
      </c>
      <c r="C426" s="29"/>
      <c r="D426" s="19" t="str">
        <f>IF('TECHNOLOGY REGISTER'!D19="","",'TECHNOLOGY REGISTER'!D19)</f>
        <v>Imports</v>
      </c>
      <c r="E426" s="29"/>
      <c r="F426" s="41"/>
      <c r="G426" s="29"/>
      <c r="H426" s="32" t="str">
        <f t="shared" si="3"/>
        <v/>
      </c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</row>
    <row r="427" spans="2:54" ht="17" customHeight="1" x14ac:dyDescent="0.45">
      <c r="B427" s="40" t="s">
        <v>161</v>
      </c>
      <c r="C427" s="30"/>
      <c r="D427" s="17" t="str">
        <f>IF('TECHNOLOGY REGISTER'!D20="","",'TECHNOLOGY REGISTER'!D20)</f>
        <v>Energy Exports</v>
      </c>
      <c r="E427" s="30"/>
      <c r="F427" s="42"/>
      <c r="G427" s="30"/>
      <c r="H427" s="24" t="str">
        <f t="shared" si="3"/>
        <v/>
      </c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</row>
    <row r="428" spans="2:54" ht="17" customHeight="1" x14ac:dyDescent="0.45">
      <c r="B428" s="39" t="s">
        <v>161</v>
      </c>
      <c r="C428" s="29"/>
      <c r="D428" s="19" t="str">
        <f>IF('TECHNOLOGY REGISTER'!D21="","",'TECHNOLOGY REGISTER'!D21)</f>
        <v>Direct Solar</v>
      </c>
      <c r="E428" s="29"/>
      <c r="F428" s="41"/>
      <c r="G428" s="29"/>
      <c r="H428" s="32" t="str">
        <f t="shared" si="3"/>
        <v/>
      </c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</row>
    <row r="429" spans="2:54" ht="15" customHeight="1" x14ac:dyDescent="0.45">
      <c r="B429" s="40" t="s">
        <v>161</v>
      </c>
      <c r="C429" s="30"/>
      <c r="D429" s="17" t="str">
        <f>IF('TECHNOLOGY REGISTER'!D22="","",'TECHNOLOGY REGISTER'!D22)</f>
        <v>Direct Oil</v>
      </c>
      <c r="E429" s="30"/>
      <c r="F429" s="42"/>
      <c r="G429" s="30"/>
      <c r="H429" s="24" t="str">
        <f t="shared" si="3"/>
        <v/>
      </c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</row>
    <row r="430" spans="2:54" ht="15" customHeight="1" x14ac:dyDescent="0.45">
      <c r="B430" s="39" t="s">
        <v>161</v>
      </c>
      <c r="C430" s="29"/>
      <c r="D430" s="19" t="str">
        <f>IF('TECHNOLOGY REGISTER'!D23="","",'TECHNOLOGY REGISTER'!D23)</f>
        <v>Direct Hydro</v>
      </c>
      <c r="E430" s="29"/>
      <c r="F430" s="41"/>
      <c r="G430" s="29"/>
      <c r="H430" s="32" t="str">
        <f t="shared" si="3"/>
        <v/>
      </c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</row>
    <row r="431" spans="2:54" ht="15" customHeight="1" x14ac:dyDescent="0.45">
      <c r="B431" s="40" t="s">
        <v>161</v>
      </c>
      <c r="C431" s="30"/>
      <c r="D431" s="17" t="str">
        <f>IF('TECHNOLOGY REGISTER'!D24="","",'TECHNOLOGY REGISTER'!D24)</f>
        <v/>
      </c>
      <c r="E431" s="30"/>
      <c r="F431" s="42"/>
      <c r="G431" s="30"/>
      <c r="H431" s="24" t="str">
        <f t="shared" si="3"/>
        <v/>
      </c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</row>
    <row r="432" spans="2:54" ht="15" customHeight="1" x14ac:dyDescent="0.45">
      <c r="B432" s="39" t="s">
        <v>161</v>
      </c>
      <c r="C432" s="29"/>
      <c r="D432" s="19" t="str">
        <f>IF('TECHNOLOGY REGISTER'!D25="","",'TECHNOLOGY REGISTER'!D25)</f>
        <v/>
      </c>
      <c r="E432" s="29"/>
      <c r="F432" s="41"/>
      <c r="G432" s="29"/>
      <c r="H432" s="32" t="str">
        <f t="shared" si="3"/>
        <v/>
      </c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</row>
    <row r="433" spans="2:54" ht="15" customHeight="1" x14ac:dyDescent="0.45">
      <c r="B433" s="40" t="s">
        <v>161</v>
      </c>
      <c r="C433" s="30"/>
      <c r="D433" s="17" t="str">
        <f>IF('TECHNOLOGY REGISTER'!D26="","",'TECHNOLOGY REGISTER'!D26)</f>
        <v/>
      </c>
      <c r="E433" s="30"/>
      <c r="F433" s="42"/>
      <c r="G433" s="30"/>
      <c r="H433" s="24" t="str">
        <f t="shared" si="3"/>
        <v/>
      </c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</row>
    <row r="434" spans="2:54" ht="15" customHeight="1" x14ac:dyDescent="0.45">
      <c r="B434" s="39" t="s">
        <v>161</v>
      </c>
      <c r="C434" s="29"/>
      <c r="D434" s="19" t="str">
        <f>IF('TECHNOLOGY REGISTER'!D27="","",'TECHNOLOGY REGISTER'!D27)</f>
        <v/>
      </c>
      <c r="E434" s="29"/>
      <c r="F434" s="41"/>
      <c r="G434" s="29"/>
      <c r="H434" s="32" t="str">
        <f t="shared" si="3"/>
        <v/>
      </c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</row>
    <row r="435" spans="2:54" ht="15" customHeight="1" x14ac:dyDescent="0.45">
      <c r="B435" s="40" t="s">
        <v>161</v>
      </c>
      <c r="C435" s="30"/>
      <c r="D435" s="17" t="str">
        <f>IF('TECHNOLOGY REGISTER'!D28="","",'TECHNOLOGY REGISTER'!D28)</f>
        <v/>
      </c>
      <c r="E435" s="30"/>
      <c r="F435" s="42"/>
      <c r="G435" s="30"/>
      <c r="H435" s="24" t="str">
        <f t="shared" si="3"/>
        <v/>
      </c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</row>
    <row r="436" spans="2:54" ht="15" customHeight="1" x14ac:dyDescent="0.45">
      <c r="B436" s="39" t="s">
        <v>161</v>
      </c>
      <c r="C436" s="29"/>
      <c r="D436" s="19" t="str">
        <f>IF('TECHNOLOGY REGISTER'!D29="","",'TECHNOLOGY REGISTER'!D29)</f>
        <v/>
      </c>
      <c r="E436" s="29"/>
      <c r="F436" s="41"/>
      <c r="G436" s="29"/>
      <c r="H436" s="32" t="str">
        <f t="shared" si="3"/>
        <v/>
      </c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</row>
    <row r="437" spans="2:54" ht="15" customHeight="1" x14ac:dyDescent="0.45">
      <c r="B437" s="40" t="s">
        <v>161</v>
      </c>
      <c r="C437" s="30"/>
      <c r="D437" s="17" t="str">
        <f>IF('TECHNOLOGY REGISTER'!D30="","",'TECHNOLOGY REGISTER'!D30)</f>
        <v/>
      </c>
      <c r="E437" s="30"/>
      <c r="F437" s="42"/>
      <c r="G437" s="30"/>
      <c r="H437" s="24" t="str">
        <f t="shared" si="3"/>
        <v/>
      </c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</row>
    <row r="438" spans="2:54" ht="15" customHeight="1" x14ac:dyDescent="0.45">
      <c r="B438" s="39" t="s">
        <v>161</v>
      </c>
      <c r="C438" s="29"/>
      <c r="D438" s="19" t="str">
        <f>IF('TECHNOLOGY REGISTER'!D31="","",'TECHNOLOGY REGISTER'!D31)</f>
        <v/>
      </c>
      <c r="E438" s="29"/>
      <c r="F438" s="41"/>
      <c r="G438" s="29"/>
      <c r="H438" s="32" t="str">
        <f t="shared" si="3"/>
        <v/>
      </c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</row>
    <row r="439" spans="2:54" ht="15" customHeight="1" x14ac:dyDescent="0.45">
      <c r="B439" s="40" t="s">
        <v>161</v>
      </c>
      <c r="C439" s="30"/>
      <c r="D439" s="17" t="str">
        <f>IF('TECHNOLOGY REGISTER'!D32="","",'TECHNOLOGY REGISTER'!D32)</f>
        <v/>
      </c>
      <c r="E439" s="30"/>
      <c r="F439" s="42"/>
      <c r="G439" s="30"/>
      <c r="H439" s="24" t="str">
        <f t="shared" si="3"/>
        <v/>
      </c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</row>
    <row r="440" spans="2:54" ht="15" customHeight="1" x14ac:dyDescent="0.45">
      <c r="B440" s="39" t="s">
        <v>161</v>
      </c>
      <c r="C440" s="29"/>
      <c r="D440" s="19" t="str">
        <f>IF('TECHNOLOGY REGISTER'!D33="","",'TECHNOLOGY REGISTER'!D33)</f>
        <v/>
      </c>
      <c r="E440" s="29"/>
      <c r="F440" s="41"/>
      <c r="G440" s="29"/>
      <c r="H440" s="32" t="str">
        <f t="shared" si="3"/>
        <v/>
      </c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</row>
    <row r="441" spans="2:54" ht="15" customHeight="1" x14ac:dyDescent="0.45">
      <c r="B441" s="40" t="s">
        <v>161</v>
      </c>
      <c r="C441" s="30"/>
      <c r="D441" s="17" t="str">
        <f>IF('TECHNOLOGY REGISTER'!D34="","",'TECHNOLOGY REGISTER'!D34)</f>
        <v/>
      </c>
      <c r="E441" s="30"/>
      <c r="F441" s="42"/>
      <c r="G441" s="30"/>
      <c r="H441" s="24" t="str">
        <f t="shared" si="3"/>
        <v/>
      </c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</row>
    <row r="442" spans="2:54" ht="15" customHeight="1" x14ac:dyDescent="0.45">
      <c r="B442" s="39" t="s">
        <v>161</v>
      </c>
      <c r="C442" s="29"/>
      <c r="D442" s="19" t="str">
        <f>IF('TECHNOLOGY REGISTER'!D35="","",'TECHNOLOGY REGISTER'!D35)</f>
        <v/>
      </c>
      <c r="E442" s="29"/>
      <c r="F442" s="41"/>
      <c r="G442" s="29"/>
      <c r="H442" s="32" t="str">
        <f t="shared" si="3"/>
        <v/>
      </c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</row>
    <row r="443" spans="2:54" ht="15" customHeight="1" x14ac:dyDescent="0.45">
      <c r="B443" s="40" t="s">
        <v>161</v>
      </c>
      <c r="C443" s="30"/>
      <c r="D443" s="17" t="str">
        <f>IF('TECHNOLOGY REGISTER'!D36="","",'TECHNOLOGY REGISTER'!D36)</f>
        <v/>
      </c>
      <c r="E443" s="30"/>
      <c r="F443" s="42"/>
      <c r="G443" s="30"/>
      <c r="H443" s="24" t="str">
        <f t="shared" si="3"/>
        <v/>
      </c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</row>
    <row r="444" spans="2:54" ht="15" customHeight="1" x14ac:dyDescent="0.45">
      <c r="B444" s="39" t="s">
        <v>161</v>
      </c>
      <c r="C444" s="29"/>
      <c r="D444" s="19" t="str">
        <f>IF('TECHNOLOGY REGISTER'!D37="","",'TECHNOLOGY REGISTER'!D37)</f>
        <v/>
      </c>
      <c r="E444" s="29"/>
      <c r="F444" s="41"/>
      <c r="G444" s="29"/>
      <c r="H444" s="32" t="str">
        <f t="shared" si="3"/>
        <v/>
      </c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</row>
    <row r="445" spans="2:54" ht="15" customHeight="1" x14ac:dyDescent="0.45">
      <c r="B445" s="40" t="s">
        <v>161</v>
      </c>
      <c r="C445" s="30"/>
      <c r="D445" s="17" t="str">
        <f>IF('TECHNOLOGY REGISTER'!D38="","",'TECHNOLOGY REGISTER'!D38)</f>
        <v/>
      </c>
      <c r="E445" s="30"/>
      <c r="F445" s="42"/>
      <c r="G445" s="30"/>
      <c r="H445" s="24" t="str">
        <f t="shared" si="3"/>
        <v/>
      </c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</row>
    <row r="446" spans="2:54" ht="15" customHeight="1" x14ac:dyDescent="0.45">
      <c r="B446" s="39" t="s">
        <v>161</v>
      </c>
      <c r="C446" s="29"/>
      <c r="D446" s="19" t="str">
        <f>IF('TECHNOLOGY REGISTER'!D39="","",'TECHNOLOGY REGISTER'!D39)</f>
        <v/>
      </c>
      <c r="E446" s="29"/>
      <c r="F446" s="41"/>
      <c r="G446" s="29"/>
      <c r="H446" s="32" t="str">
        <f t="shared" si="3"/>
        <v/>
      </c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</row>
    <row r="447" spans="2:54" ht="15" customHeight="1" x14ac:dyDescent="0.45">
      <c r="B447" s="40" t="s">
        <v>161</v>
      </c>
      <c r="C447" s="30"/>
      <c r="D447" s="17" t="str">
        <f>IF('TECHNOLOGY REGISTER'!D40="","",'TECHNOLOGY REGISTER'!D40)</f>
        <v/>
      </c>
      <c r="E447" s="30"/>
      <c r="F447" s="42"/>
      <c r="G447" s="30"/>
      <c r="H447" s="24" t="str">
        <f t="shared" si="3"/>
        <v/>
      </c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</row>
    <row r="448" spans="2:54" ht="15" customHeight="1" x14ac:dyDescent="0.45">
      <c r="B448" s="39" t="s">
        <v>161</v>
      </c>
      <c r="C448" s="29"/>
      <c r="D448" s="19" t="str">
        <f>IF('TECHNOLOGY REGISTER'!D41="","",'TECHNOLOGY REGISTER'!D41)</f>
        <v/>
      </c>
      <c r="E448" s="29"/>
      <c r="F448" s="41"/>
      <c r="G448" s="29"/>
      <c r="H448" s="32" t="str">
        <f t="shared" si="3"/>
        <v/>
      </c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</row>
    <row r="449" spans="2:54" ht="15" customHeight="1" x14ac:dyDescent="0.45">
      <c r="B449" s="40" t="s">
        <v>161</v>
      </c>
      <c r="C449" s="30"/>
      <c r="D449" s="17" t="str">
        <f>IF('TECHNOLOGY REGISTER'!D42="","",'TECHNOLOGY REGISTER'!D42)</f>
        <v/>
      </c>
      <c r="E449" s="30"/>
      <c r="F449" s="42"/>
      <c r="G449" s="30"/>
      <c r="H449" s="24" t="str">
        <f t="shared" si="3"/>
        <v/>
      </c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</row>
    <row r="450" spans="2:54" ht="15" customHeight="1" x14ac:dyDescent="0.45">
      <c r="B450" s="39" t="s">
        <v>161</v>
      </c>
      <c r="C450" s="29"/>
      <c r="D450" s="19" t="str">
        <f>IF('TECHNOLOGY REGISTER'!D43="","",'TECHNOLOGY REGISTER'!D43)</f>
        <v/>
      </c>
      <c r="E450" s="29"/>
      <c r="F450" s="41"/>
      <c r="G450" s="29"/>
      <c r="H450" s="32" t="str">
        <f t="shared" si="3"/>
        <v/>
      </c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</row>
    <row r="451" spans="2:54" ht="15" customHeight="1" x14ac:dyDescent="0.45">
      <c r="B451" s="40" t="s">
        <v>161</v>
      </c>
      <c r="C451" s="30"/>
      <c r="D451" s="17" t="str">
        <f>IF('TECHNOLOGY REGISTER'!D44="","",'TECHNOLOGY REGISTER'!D44)</f>
        <v/>
      </c>
      <c r="E451" s="30"/>
      <c r="F451" s="42"/>
      <c r="G451" s="30"/>
      <c r="H451" s="24" t="str">
        <f t="shared" si="3"/>
        <v/>
      </c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</row>
    <row r="452" spans="2:54" ht="15" customHeight="1" x14ac:dyDescent="0.45">
      <c r="B452" s="39" t="s">
        <v>161</v>
      </c>
      <c r="C452" s="29"/>
      <c r="D452" s="19" t="str">
        <f>IF('TECHNOLOGY REGISTER'!D45="","",'TECHNOLOGY REGISTER'!D45)</f>
        <v/>
      </c>
      <c r="E452" s="29"/>
      <c r="F452" s="41"/>
      <c r="G452" s="29"/>
      <c r="H452" s="32" t="str">
        <f t="shared" si="3"/>
        <v/>
      </c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</row>
    <row r="453" spans="2:54" ht="15" customHeight="1" x14ac:dyDescent="0.45">
      <c r="B453" s="40" t="s">
        <v>161</v>
      </c>
      <c r="C453" s="30"/>
      <c r="D453" s="17" t="str">
        <f>IF('TECHNOLOGY REGISTER'!D46="","",'TECHNOLOGY REGISTER'!D46)</f>
        <v/>
      </c>
      <c r="E453" s="30"/>
      <c r="F453" s="42"/>
      <c r="G453" s="30"/>
      <c r="H453" s="24" t="str">
        <f t="shared" si="3"/>
        <v/>
      </c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</row>
    <row r="454" spans="2:54" ht="15" customHeight="1" x14ac:dyDescent="0.45">
      <c r="B454" s="39" t="s">
        <v>161</v>
      </c>
      <c r="C454" s="29"/>
      <c r="D454" s="19" t="str">
        <f>IF('TECHNOLOGY REGISTER'!D47="","",'TECHNOLOGY REGISTER'!D47)</f>
        <v/>
      </c>
      <c r="E454" s="29"/>
      <c r="F454" s="41"/>
      <c r="G454" s="29"/>
      <c r="H454" s="32" t="str">
        <f t="shared" si="3"/>
        <v/>
      </c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</row>
    <row r="455" spans="2:54" ht="15" customHeight="1" x14ac:dyDescent="0.45">
      <c r="B455" s="40" t="s">
        <v>161</v>
      </c>
      <c r="C455" s="30"/>
      <c r="D455" s="17" t="str">
        <f>IF('TECHNOLOGY REGISTER'!D48="","",'TECHNOLOGY REGISTER'!D48)</f>
        <v/>
      </c>
      <c r="E455" s="30"/>
      <c r="F455" s="42"/>
      <c r="G455" s="30"/>
      <c r="H455" s="24" t="str">
        <f t="shared" si="3"/>
        <v/>
      </c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</row>
    <row r="456" spans="2:54" ht="15" customHeight="1" x14ac:dyDescent="0.45">
      <c r="B456" s="39" t="s">
        <v>161</v>
      </c>
      <c r="C456" s="29"/>
      <c r="D456" s="19" t="str">
        <f>IF('TECHNOLOGY REGISTER'!D49="","",'TECHNOLOGY REGISTER'!D49)</f>
        <v/>
      </c>
      <c r="E456" s="29"/>
      <c r="F456" s="41"/>
      <c r="G456" s="29"/>
      <c r="H456" s="32" t="str">
        <f t="shared" si="3"/>
        <v/>
      </c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</row>
    <row r="457" spans="2:54" ht="15" customHeight="1" x14ac:dyDescent="0.45">
      <c r="B457" s="40" t="s">
        <v>161</v>
      </c>
      <c r="C457" s="30"/>
      <c r="D457" s="17" t="str">
        <f>IF('TECHNOLOGY REGISTER'!D50="","",'TECHNOLOGY REGISTER'!D50)</f>
        <v/>
      </c>
      <c r="E457" s="30"/>
      <c r="F457" s="42"/>
      <c r="G457" s="30"/>
      <c r="H457" s="24" t="str">
        <f t="shared" si="3"/>
        <v/>
      </c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</row>
    <row r="458" spans="2:54" ht="15" customHeight="1" x14ac:dyDescent="0.45">
      <c r="B458" s="39" t="s">
        <v>161</v>
      </c>
      <c r="C458" s="29"/>
      <c r="D458" s="19" t="str">
        <f>IF('TECHNOLOGY REGISTER'!D51="","",'TECHNOLOGY REGISTER'!D51)</f>
        <v/>
      </c>
      <c r="E458" s="29"/>
      <c r="F458" s="41"/>
      <c r="G458" s="29"/>
      <c r="H458" s="32" t="str">
        <f t="shared" si="3"/>
        <v/>
      </c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</row>
    <row r="459" spans="2:54" ht="15" customHeight="1" x14ac:dyDescent="0.45">
      <c r="B459" s="40" t="s">
        <v>161</v>
      </c>
      <c r="C459" s="30"/>
      <c r="D459" s="17" t="str">
        <f>IF('TECHNOLOGY REGISTER'!D52="","",'TECHNOLOGY REGISTER'!D52)</f>
        <v/>
      </c>
      <c r="E459" s="30"/>
      <c r="F459" s="42"/>
      <c r="G459" s="30"/>
      <c r="H459" s="24" t="str">
        <f t="shared" si="3"/>
        <v/>
      </c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</row>
    <row r="460" spans="2:54" ht="15" customHeight="1" x14ac:dyDescent="0.45">
      <c r="B460" s="39" t="s">
        <v>161</v>
      </c>
      <c r="C460" s="29"/>
      <c r="D460" s="19" t="str">
        <f>IF('TECHNOLOGY REGISTER'!D53="","",'TECHNOLOGY REGISTER'!D53)</f>
        <v/>
      </c>
      <c r="E460" s="29"/>
      <c r="F460" s="41"/>
      <c r="G460" s="29"/>
      <c r="H460" s="32" t="str">
        <f t="shared" si="3"/>
        <v/>
      </c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</row>
    <row r="461" spans="2:54" ht="15" customHeight="1" x14ac:dyDescent="0.45">
      <c r="B461" s="40" t="s">
        <v>161</v>
      </c>
      <c r="C461" s="30"/>
      <c r="D461" s="17" t="str">
        <f>IF('TECHNOLOGY REGISTER'!D54="","",'TECHNOLOGY REGISTER'!D54)</f>
        <v/>
      </c>
      <c r="E461" s="30"/>
      <c r="F461" s="42"/>
      <c r="G461" s="30"/>
      <c r="H461" s="24" t="str">
        <f t="shared" si="3"/>
        <v/>
      </c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</row>
    <row r="462" spans="2:54" ht="15" customHeight="1" x14ac:dyDescent="0.45">
      <c r="B462" s="39" t="s">
        <v>161</v>
      </c>
      <c r="C462" s="29"/>
      <c r="D462" s="19" t="str">
        <f>IF('TECHNOLOGY REGISTER'!D55="","",'TECHNOLOGY REGISTER'!D55)</f>
        <v/>
      </c>
      <c r="E462" s="29"/>
      <c r="F462" s="41"/>
      <c r="G462" s="29"/>
      <c r="H462" s="32" t="str">
        <f t="shared" si="3"/>
        <v/>
      </c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</row>
    <row r="463" spans="2:54" ht="15" customHeight="1" thickBot="1" x14ac:dyDescent="0.5">
      <c r="B463" s="40" t="s">
        <v>161</v>
      </c>
      <c r="C463" s="30"/>
      <c r="D463" s="17" t="str">
        <f>IF('TECHNOLOGY REGISTER'!D56="","",'TECHNOLOGY REGISTER'!D56)</f>
        <v/>
      </c>
      <c r="E463" s="30"/>
      <c r="F463" s="42"/>
      <c r="G463" s="30"/>
      <c r="H463" s="24" t="str">
        <f t="shared" si="3"/>
        <v/>
      </c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</row>
    <row r="464" spans="2:54" customFormat="1" ht="20" customHeight="1" x14ac:dyDescent="0.5">
      <c r="B464" s="69" t="s">
        <v>166</v>
      </c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  <c r="AY464" s="69"/>
      <c r="AZ464" s="69"/>
      <c r="BA464" s="69"/>
      <c r="BB464" s="69"/>
    </row>
    <row r="465" spans="2:54" ht="17" customHeight="1" x14ac:dyDescent="0.45">
      <c r="B465" s="39" t="s">
        <v>161</v>
      </c>
      <c r="C465" s="29" t="s">
        <v>5</v>
      </c>
      <c r="D465" s="19" t="str">
        <f>IF('TECHNOLOGY REGISTER'!D7="","",'TECHNOLOGY REGISTER'!D7)</f>
        <v>Biomass</v>
      </c>
      <c r="E465" s="29" t="s">
        <v>53</v>
      </c>
      <c r="F465" s="41"/>
      <c r="G465" s="29" t="s">
        <v>29</v>
      </c>
      <c r="H465" s="32" t="str">
        <f>IF(E465="","",E465&amp;"/kWh")</f>
        <v>KES/kWh</v>
      </c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</row>
    <row r="466" spans="2:54" ht="17" customHeight="1" x14ac:dyDescent="0.45">
      <c r="B466" s="40" t="s">
        <v>161</v>
      </c>
      <c r="C466" s="30" t="s">
        <v>5</v>
      </c>
      <c r="D466" s="17" t="str">
        <f>IF('TECHNOLOGY REGISTER'!D8="","",'TECHNOLOGY REGISTER'!D8)</f>
        <v>Geothermal</v>
      </c>
      <c r="E466" s="30" t="s">
        <v>53</v>
      </c>
      <c r="F466" s="42"/>
      <c r="G466" s="30" t="s">
        <v>29</v>
      </c>
      <c r="H466" s="24" t="str">
        <f t="shared" ref="H466:H514" si="4">IF(E466="","",E466&amp;"/kWh")</f>
        <v>KES/kWh</v>
      </c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</row>
    <row r="467" spans="2:54" ht="17" customHeight="1" x14ac:dyDescent="0.45">
      <c r="B467" s="39" t="s">
        <v>161</v>
      </c>
      <c r="C467" s="29" t="s">
        <v>5</v>
      </c>
      <c r="D467" s="19" t="str">
        <f>IF('TECHNOLOGY REGISTER'!D9="","",'TECHNOLOGY REGISTER'!D9)</f>
        <v>Solar PV</v>
      </c>
      <c r="E467" s="29" t="s">
        <v>53</v>
      </c>
      <c r="F467" s="41"/>
      <c r="G467" s="29" t="s">
        <v>29</v>
      </c>
      <c r="H467" s="32" t="str">
        <f t="shared" si="4"/>
        <v>KES/kWh</v>
      </c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</row>
    <row r="468" spans="2:54" ht="17" customHeight="1" x14ac:dyDescent="0.45">
      <c r="B468" s="40" t="s">
        <v>161</v>
      </c>
      <c r="C468" s="30" t="s">
        <v>5</v>
      </c>
      <c r="D468" s="17" t="str">
        <f>IF('TECHNOLOGY REGISTER'!D10="","",'TECHNOLOGY REGISTER'!D10)</f>
        <v>CSP</v>
      </c>
      <c r="E468" s="30" t="s">
        <v>53</v>
      </c>
      <c r="F468" s="42"/>
      <c r="G468" s="30" t="s">
        <v>29</v>
      </c>
      <c r="H468" s="24" t="str">
        <f t="shared" si="4"/>
        <v>KES/kWh</v>
      </c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</row>
    <row r="469" spans="2:54" ht="17" customHeight="1" x14ac:dyDescent="0.45">
      <c r="B469" s="39" t="s">
        <v>161</v>
      </c>
      <c r="C469" s="29" t="s">
        <v>5</v>
      </c>
      <c r="D469" s="19" t="str">
        <f>IF('TECHNOLOGY REGISTER'!D11="","",'TECHNOLOGY REGISTER'!D11)</f>
        <v>Hydropower</v>
      </c>
      <c r="E469" s="29" t="s">
        <v>53</v>
      </c>
      <c r="F469" s="41"/>
      <c r="G469" s="29" t="s">
        <v>29</v>
      </c>
      <c r="H469" s="32" t="str">
        <f t="shared" si="4"/>
        <v>KES/kWh</v>
      </c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</row>
    <row r="470" spans="2:54" ht="17" customHeight="1" x14ac:dyDescent="0.45">
      <c r="B470" s="40" t="s">
        <v>161</v>
      </c>
      <c r="C470" s="30" t="s">
        <v>5</v>
      </c>
      <c r="D470" s="17" t="str">
        <f>IF('TECHNOLOGY REGISTER'!D12="","",'TECHNOLOGY REGISTER'!D12)</f>
        <v>Nuclear</v>
      </c>
      <c r="E470" s="30" t="s">
        <v>53</v>
      </c>
      <c r="F470" s="42"/>
      <c r="G470" s="30" t="s">
        <v>29</v>
      </c>
      <c r="H470" s="24" t="str">
        <f t="shared" si="4"/>
        <v>KES/kWh</v>
      </c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</row>
    <row r="471" spans="2:54" ht="17" customHeight="1" x14ac:dyDescent="0.45">
      <c r="B471" s="39" t="s">
        <v>161</v>
      </c>
      <c r="C471" s="29" t="s">
        <v>5</v>
      </c>
      <c r="D471" s="19" t="str">
        <f>IF('TECHNOLOGY REGISTER'!D13="","",'TECHNOLOGY REGISTER'!D13)</f>
        <v>Wind</v>
      </c>
      <c r="E471" s="29" t="s">
        <v>53</v>
      </c>
      <c r="F471" s="41"/>
      <c r="G471" s="29" t="s">
        <v>29</v>
      </c>
      <c r="H471" s="32" t="str">
        <f t="shared" si="4"/>
        <v>KES/kWh</v>
      </c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</row>
    <row r="472" spans="2:54" ht="17" customHeight="1" x14ac:dyDescent="0.45">
      <c r="B472" s="40" t="s">
        <v>161</v>
      </c>
      <c r="C472" s="30" t="s">
        <v>5</v>
      </c>
      <c r="D472" s="17" t="str">
        <f>IF('TECHNOLOGY REGISTER'!D14="","",'TECHNOLOGY REGISTER'!D14)</f>
        <v>Coal</v>
      </c>
      <c r="E472" s="30" t="s">
        <v>53</v>
      </c>
      <c r="F472" s="42"/>
      <c r="G472" s="30" t="s">
        <v>29</v>
      </c>
      <c r="H472" s="24" t="str">
        <f t="shared" si="4"/>
        <v>KES/kWh</v>
      </c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</row>
    <row r="473" spans="2:54" ht="17" customHeight="1" x14ac:dyDescent="0.45">
      <c r="B473" s="39" t="s">
        <v>161</v>
      </c>
      <c r="C473" s="29" t="s">
        <v>5</v>
      </c>
      <c r="D473" s="19" t="str">
        <f>IF('TECHNOLOGY REGISTER'!D15="","",'TECHNOLOGY REGISTER'!D15)</f>
        <v>Oil</v>
      </c>
      <c r="E473" s="29" t="s">
        <v>53</v>
      </c>
      <c r="F473" s="41"/>
      <c r="G473" s="29" t="s">
        <v>13</v>
      </c>
      <c r="H473" s="32" t="str">
        <f t="shared" si="4"/>
        <v>KES/kWh</v>
      </c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</row>
    <row r="474" spans="2:54" ht="17" customHeight="1" x14ac:dyDescent="0.45">
      <c r="B474" s="40" t="s">
        <v>161</v>
      </c>
      <c r="C474" s="30" t="s">
        <v>5</v>
      </c>
      <c r="D474" s="17" t="str">
        <f>IF('TECHNOLOGY REGISTER'!D16="","",'TECHNOLOGY REGISTER'!D16)</f>
        <v>Gas</v>
      </c>
      <c r="E474" s="30" t="s">
        <v>53</v>
      </c>
      <c r="F474" s="42"/>
      <c r="G474" s="30" t="s">
        <v>156</v>
      </c>
      <c r="H474" s="24" t="str">
        <f t="shared" si="4"/>
        <v>KES/kWh</v>
      </c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</row>
    <row r="475" spans="2:54" ht="17" customHeight="1" x14ac:dyDescent="0.45">
      <c r="B475" s="39" t="s">
        <v>161</v>
      </c>
      <c r="C475" s="29" t="s">
        <v>5</v>
      </c>
      <c r="D475" s="19" t="str">
        <f>IF('TECHNOLOGY REGISTER'!D17="","",'TECHNOLOGY REGISTER'!D17)</f>
        <v>Transmission</v>
      </c>
      <c r="E475" s="29" t="s">
        <v>53</v>
      </c>
      <c r="F475" s="41"/>
      <c r="G475" s="29" t="s">
        <v>29</v>
      </c>
      <c r="H475" s="32" t="str">
        <f t="shared" si="4"/>
        <v>KES/kWh</v>
      </c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</row>
    <row r="476" spans="2:54" ht="17" customHeight="1" x14ac:dyDescent="0.45">
      <c r="B476" s="40" t="s">
        <v>161</v>
      </c>
      <c r="C476" s="30" t="s">
        <v>5</v>
      </c>
      <c r="D476" s="17" t="str">
        <f>IF('TECHNOLOGY REGISTER'!D18="","",'TECHNOLOGY REGISTER'!D18)</f>
        <v>Distribution</v>
      </c>
      <c r="E476" s="30" t="s">
        <v>53</v>
      </c>
      <c r="F476" s="42"/>
      <c r="G476" s="30" t="s">
        <v>29</v>
      </c>
      <c r="H476" s="24" t="str">
        <f t="shared" si="4"/>
        <v>KES/kWh</v>
      </c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</row>
    <row r="477" spans="2:54" ht="17" customHeight="1" x14ac:dyDescent="0.45">
      <c r="B477" s="39" t="s">
        <v>161</v>
      </c>
      <c r="C477" s="29"/>
      <c r="D477" s="19" t="str">
        <f>IF('TECHNOLOGY REGISTER'!D19="","",'TECHNOLOGY REGISTER'!D19)</f>
        <v>Imports</v>
      </c>
      <c r="E477" s="29"/>
      <c r="F477" s="41"/>
      <c r="G477" s="29"/>
      <c r="H477" s="32" t="str">
        <f t="shared" si="4"/>
        <v/>
      </c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</row>
    <row r="478" spans="2:54" ht="17" customHeight="1" x14ac:dyDescent="0.45">
      <c r="B478" s="40" t="s">
        <v>161</v>
      </c>
      <c r="C478" s="30"/>
      <c r="D478" s="17" t="str">
        <f>IF('TECHNOLOGY REGISTER'!D20="","",'TECHNOLOGY REGISTER'!D20)</f>
        <v>Energy Exports</v>
      </c>
      <c r="E478" s="30"/>
      <c r="F478" s="42"/>
      <c r="G478" s="30"/>
      <c r="H478" s="24" t="str">
        <f t="shared" si="4"/>
        <v/>
      </c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</row>
    <row r="479" spans="2:54" ht="17" customHeight="1" x14ac:dyDescent="0.45">
      <c r="B479" s="39" t="s">
        <v>161</v>
      </c>
      <c r="C479" s="29"/>
      <c r="D479" s="19" t="str">
        <f>IF('TECHNOLOGY REGISTER'!D21="","",'TECHNOLOGY REGISTER'!D21)</f>
        <v>Direct Solar</v>
      </c>
      <c r="E479" s="29"/>
      <c r="F479" s="41"/>
      <c r="G479" s="29"/>
      <c r="H479" s="32" t="str">
        <f t="shared" si="4"/>
        <v/>
      </c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</row>
    <row r="480" spans="2:54" ht="15" customHeight="1" x14ac:dyDescent="0.45">
      <c r="B480" s="40" t="s">
        <v>161</v>
      </c>
      <c r="C480" s="30"/>
      <c r="D480" s="17" t="str">
        <f>IF('TECHNOLOGY REGISTER'!D22="","",'TECHNOLOGY REGISTER'!D22)</f>
        <v>Direct Oil</v>
      </c>
      <c r="E480" s="30"/>
      <c r="F480" s="42"/>
      <c r="G480" s="30"/>
      <c r="H480" s="24" t="str">
        <f t="shared" si="4"/>
        <v/>
      </c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</row>
    <row r="481" spans="2:54" ht="15" customHeight="1" x14ac:dyDescent="0.45">
      <c r="B481" s="39" t="s">
        <v>161</v>
      </c>
      <c r="C481" s="29"/>
      <c r="D481" s="19" t="str">
        <f>IF('TECHNOLOGY REGISTER'!D23="","",'TECHNOLOGY REGISTER'!D23)</f>
        <v>Direct Hydro</v>
      </c>
      <c r="E481" s="29"/>
      <c r="F481" s="41"/>
      <c r="G481" s="29"/>
      <c r="H481" s="32" t="str">
        <f t="shared" si="4"/>
        <v/>
      </c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</row>
    <row r="482" spans="2:54" ht="15" customHeight="1" x14ac:dyDescent="0.45">
      <c r="B482" s="40" t="s">
        <v>161</v>
      </c>
      <c r="C482" s="30"/>
      <c r="D482" s="17" t="str">
        <f>IF('TECHNOLOGY REGISTER'!D24="","",'TECHNOLOGY REGISTER'!D24)</f>
        <v/>
      </c>
      <c r="E482" s="30"/>
      <c r="F482" s="42"/>
      <c r="G482" s="30"/>
      <c r="H482" s="24" t="str">
        <f t="shared" si="4"/>
        <v/>
      </c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</row>
    <row r="483" spans="2:54" ht="15" customHeight="1" x14ac:dyDescent="0.45">
      <c r="B483" s="39" t="s">
        <v>161</v>
      </c>
      <c r="C483" s="29"/>
      <c r="D483" s="19" t="str">
        <f>IF('TECHNOLOGY REGISTER'!D25="","",'TECHNOLOGY REGISTER'!D25)</f>
        <v/>
      </c>
      <c r="E483" s="29"/>
      <c r="F483" s="41"/>
      <c r="G483" s="29"/>
      <c r="H483" s="32" t="str">
        <f t="shared" si="4"/>
        <v/>
      </c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</row>
    <row r="484" spans="2:54" ht="15" customHeight="1" x14ac:dyDescent="0.45">
      <c r="B484" s="40" t="s">
        <v>161</v>
      </c>
      <c r="C484" s="30"/>
      <c r="D484" s="17" t="str">
        <f>IF('TECHNOLOGY REGISTER'!D26="","",'TECHNOLOGY REGISTER'!D26)</f>
        <v/>
      </c>
      <c r="E484" s="30"/>
      <c r="F484" s="42"/>
      <c r="G484" s="30"/>
      <c r="H484" s="24" t="str">
        <f t="shared" si="4"/>
        <v/>
      </c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</row>
    <row r="485" spans="2:54" ht="15" customHeight="1" x14ac:dyDescent="0.45">
      <c r="B485" s="39" t="s">
        <v>161</v>
      </c>
      <c r="C485" s="29"/>
      <c r="D485" s="19" t="str">
        <f>IF('TECHNOLOGY REGISTER'!D27="","",'TECHNOLOGY REGISTER'!D27)</f>
        <v/>
      </c>
      <c r="E485" s="29"/>
      <c r="F485" s="41"/>
      <c r="G485" s="29"/>
      <c r="H485" s="32" t="str">
        <f t="shared" si="4"/>
        <v/>
      </c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</row>
    <row r="486" spans="2:54" ht="15" customHeight="1" x14ac:dyDescent="0.45">
      <c r="B486" s="40" t="s">
        <v>161</v>
      </c>
      <c r="C486" s="30"/>
      <c r="D486" s="17" t="str">
        <f>IF('TECHNOLOGY REGISTER'!D28="","",'TECHNOLOGY REGISTER'!D28)</f>
        <v/>
      </c>
      <c r="E486" s="30"/>
      <c r="F486" s="42"/>
      <c r="G486" s="30"/>
      <c r="H486" s="24" t="str">
        <f t="shared" si="4"/>
        <v/>
      </c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</row>
    <row r="487" spans="2:54" ht="15" customHeight="1" x14ac:dyDescent="0.45">
      <c r="B487" s="39" t="s">
        <v>161</v>
      </c>
      <c r="C487" s="29"/>
      <c r="D487" s="19" t="str">
        <f>IF('TECHNOLOGY REGISTER'!D29="","",'TECHNOLOGY REGISTER'!D29)</f>
        <v/>
      </c>
      <c r="E487" s="29"/>
      <c r="F487" s="41"/>
      <c r="G487" s="29"/>
      <c r="H487" s="32" t="str">
        <f t="shared" si="4"/>
        <v/>
      </c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</row>
    <row r="488" spans="2:54" ht="15" customHeight="1" x14ac:dyDescent="0.45">
      <c r="B488" s="40" t="s">
        <v>161</v>
      </c>
      <c r="C488" s="30"/>
      <c r="D488" s="17" t="str">
        <f>IF('TECHNOLOGY REGISTER'!D30="","",'TECHNOLOGY REGISTER'!D30)</f>
        <v/>
      </c>
      <c r="E488" s="30"/>
      <c r="F488" s="42"/>
      <c r="G488" s="30"/>
      <c r="H488" s="24" t="str">
        <f t="shared" si="4"/>
        <v/>
      </c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</row>
    <row r="489" spans="2:54" ht="15" customHeight="1" x14ac:dyDescent="0.45">
      <c r="B489" s="39" t="s">
        <v>161</v>
      </c>
      <c r="C489" s="29"/>
      <c r="D489" s="19" t="str">
        <f>IF('TECHNOLOGY REGISTER'!D31="","",'TECHNOLOGY REGISTER'!D31)</f>
        <v/>
      </c>
      <c r="E489" s="29"/>
      <c r="F489" s="41"/>
      <c r="G489" s="29"/>
      <c r="H489" s="32" t="str">
        <f t="shared" si="4"/>
        <v/>
      </c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</row>
    <row r="490" spans="2:54" ht="15" customHeight="1" x14ac:dyDescent="0.45">
      <c r="B490" s="40" t="s">
        <v>161</v>
      </c>
      <c r="C490" s="30"/>
      <c r="D490" s="17" t="str">
        <f>IF('TECHNOLOGY REGISTER'!D32="","",'TECHNOLOGY REGISTER'!D32)</f>
        <v/>
      </c>
      <c r="E490" s="30"/>
      <c r="F490" s="42"/>
      <c r="G490" s="30"/>
      <c r="H490" s="24" t="str">
        <f t="shared" si="4"/>
        <v/>
      </c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</row>
    <row r="491" spans="2:54" ht="15" customHeight="1" x14ac:dyDescent="0.45">
      <c r="B491" s="39" t="s">
        <v>161</v>
      </c>
      <c r="C491" s="29"/>
      <c r="D491" s="19" t="str">
        <f>IF('TECHNOLOGY REGISTER'!D33="","",'TECHNOLOGY REGISTER'!D33)</f>
        <v/>
      </c>
      <c r="E491" s="29"/>
      <c r="F491" s="41"/>
      <c r="G491" s="29"/>
      <c r="H491" s="32" t="str">
        <f t="shared" si="4"/>
        <v/>
      </c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</row>
    <row r="492" spans="2:54" ht="15" customHeight="1" x14ac:dyDescent="0.45">
      <c r="B492" s="40" t="s">
        <v>161</v>
      </c>
      <c r="C492" s="30"/>
      <c r="D492" s="17" t="str">
        <f>IF('TECHNOLOGY REGISTER'!D34="","",'TECHNOLOGY REGISTER'!D34)</f>
        <v/>
      </c>
      <c r="E492" s="30"/>
      <c r="F492" s="42"/>
      <c r="G492" s="30"/>
      <c r="H492" s="24" t="str">
        <f t="shared" si="4"/>
        <v/>
      </c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</row>
    <row r="493" spans="2:54" ht="15" customHeight="1" x14ac:dyDescent="0.45">
      <c r="B493" s="39" t="s">
        <v>161</v>
      </c>
      <c r="C493" s="29"/>
      <c r="D493" s="19" t="str">
        <f>IF('TECHNOLOGY REGISTER'!D35="","",'TECHNOLOGY REGISTER'!D35)</f>
        <v/>
      </c>
      <c r="E493" s="29"/>
      <c r="F493" s="41"/>
      <c r="G493" s="29"/>
      <c r="H493" s="32" t="str">
        <f t="shared" si="4"/>
        <v/>
      </c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</row>
    <row r="494" spans="2:54" ht="15" customHeight="1" x14ac:dyDescent="0.45">
      <c r="B494" s="40" t="s">
        <v>161</v>
      </c>
      <c r="C494" s="30"/>
      <c r="D494" s="17" t="str">
        <f>IF('TECHNOLOGY REGISTER'!D36="","",'TECHNOLOGY REGISTER'!D36)</f>
        <v/>
      </c>
      <c r="E494" s="30"/>
      <c r="F494" s="42"/>
      <c r="G494" s="30"/>
      <c r="H494" s="24" t="str">
        <f t="shared" si="4"/>
        <v/>
      </c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</row>
    <row r="495" spans="2:54" ht="15" customHeight="1" x14ac:dyDescent="0.45">
      <c r="B495" s="39" t="s">
        <v>161</v>
      </c>
      <c r="C495" s="29"/>
      <c r="D495" s="19" t="str">
        <f>IF('TECHNOLOGY REGISTER'!D37="","",'TECHNOLOGY REGISTER'!D37)</f>
        <v/>
      </c>
      <c r="E495" s="29"/>
      <c r="F495" s="41"/>
      <c r="G495" s="29"/>
      <c r="H495" s="32" t="str">
        <f t="shared" si="4"/>
        <v/>
      </c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</row>
    <row r="496" spans="2:54" ht="15" customHeight="1" x14ac:dyDescent="0.45">
      <c r="B496" s="40" t="s">
        <v>161</v>
      </c>
      <c r="C496" s="30"/>
      <c r="D496" s="17" t="str">
        <f>IF('TECHNOLOGY REGISTER'!D38="","",'TECHNOLOGY REGISTER'!D38)</f>
        <v/>
      </c>
      <c r="E496" s="30"/>
      <c r="F496" s="42"/>
      <c r="G496" s="30"/>
      <c r="H496" s="24" t="str">
        <f t="shared" si="4"/>
        <v/>
      </c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</row>
    <row r="497" spans="2:54" ht="15" customHeight="1" x14ac:dyDescent="0.45">
      <c r="B497" s="39" t="s">
        <v>161</v>
      </c>
      <c r="C497" s="29"/>
      <c r="D497" s="19" t="str">
        <f>IF('TECHNOLOGY REGISTER'!D39="","",'TECHNOLOGY REGISTER'!D39)</f>
        <v/>
      </c>
      <c r="E497" s="29"/>
      <c r="F497" s="41"/>
      <c r="G497" s="29"/>
      <c r="H497" s="32" t="str">
        <f t="shared" si="4"/>
        <v/>
      </c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</row>
    <row r="498" spans="2:54" ht="15" customHeight="1" x14ac:dyDescent="0.45">
      <c r="B498" s="40" t="s">
        <v>161</v>
      </c>
      <c r="C498" s="30"/>
      <c r="D498" s="17" t="str">
        <f>IF('TECHNOLOGY REGISTER'!D40="","",'TECHNOLOGY REGISTER'!D40)</f>
        <v/>
      </c>
      <c r="E498" s="30"/>
      <c r="F498" s="42"/>
      <c r="G498" s="30"/>
      <c r="H498" s="24" t="str">
        <f t="shared" si="4"/>
        <v/>
      </c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</row>
    <row r="499" spans="2:54" ht="15" customHeight="1" x14ac:dyDescent="0.45">
      <c r="B499" s="39" t="s">
        <v>161</v>
      </c>
      <c r="C499" s="29"/>
      <c r="D499" s="19" t="str">
        <f>IF('TECHNOLOGY REGISTER'!D41="","",'TECHNOLOGY REGISTER'!D41)</f>
        <v/>
      </c>
      <c r="E499" s="29"/>
      <c r="F499" s="41"/>
      <c r="G499" s="29"/>
      <c r="H499" s="32" t="str">
        <f t="shared" si="4"/>
        <v/>
      </c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</row>
    <row r="500" spans="2:54" ht="15" customHeight="1" x14ac:dyDescent="0.45">
      <c r="B500" s="40" t="s">
        <v>161</v>
      </c>
      <c r="C500" s="30"/>
      <c r="D500" s="17" t="str">
        <f>IF('TECHNOLOGY REGISTER'!D42="","",'TECHNOLOGY REGISTER'!D42)</f>
        <v/>
      </c>
      <c r="E500" s="30"/>
      <c r="F500" s="42"/>
      <c r="G500" s="30"/>
      <c r="H500" s="24" t="str">
        <f t="shared" si="4"/>
        <v/>
      </c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</row>
    <row r="501" spans="2:54" ht="15" customHeight="1" x14ac:dyDescent="0.45">
      <c r="B501" s="39" t="s">
        <v>161</v>
      </c>
      <c r="C501" s="29"/>
      <c r="D501" s="19" t="str">
        <f>IF('TECHNOLOGY REGISTER'!D43="","",'TECHNOLOGY REGISTER'!D43)</f>
        <v/>
      </c>
      <c r="E501" s="29"/>
      <c r="F501" s="41"/>
      <c r="G501" s="29"/>
      <c r="H501" s="32" t="str">
        <f t="shared" si="4"/>
        <v/>
      </c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</row>
    <row r="502" spans="2:54" ht="15" customHeight="1" x14ac:dyDescent="0.45">
      <c r="B502" s="40" t="s">
        <v>161</v>
      </c>
      <c r="C502" s="30"/>
      <c r="D502" s="17" t="str">
        <f>IF('TECHNOLOGY REGISTER'!D44="","",'TECHNOLOGY REGISTER'!D44)</f>
        <v/>
      </c>
      <c r="E502" s="30"/>
      <c r="F502" s="42"/>
      <c r="G502" s="30"/>
      <c r="H502" s="24" t="str">
        <f t="shared" si="4"/>
        <v/>
      </c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</row>
    <row r="503" spans="2:54" ht="15" customHeight="1" x14ac:dyDescent="0.45">
      <c r="B503" s="39" t="s">
        <v>161</v>
      </c>
      <c r="C503" s="29"/>
      <c r="D503" s="19" t="str">
        <f>IF('TECHNOLOGY REGISTER'!D45="","",'TECHNOLOGY REGISTER'!D45)</f>
        <v/>
      </c>
      <c r="E503" s="29"/>
      <c r="F503" s="41"/>
      <c r="G503" s="29"/>
      <c r="H503" s="32" t="str">
        <f t="shared" si="4"/>
        <v/>
      </c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</row>
    <row r="504" spans="2:54" ht="15" customHeight="1" x14ac:dyDescent="0.45">
      <c r="B504" s="40" t="s">
        <v>161</v>
      </c>
      <c r="C504" s="30"/>
      <c r="D504" s="17" t="str">
        <f>IF('TECHNOLOGY REGISTER'!D46="","",'TECHNOLOGY REGISTER'!D46)</f>
        <v/>
      </c>
      <c r="E504" s="30"/>
      <c r="F504" s="42"/>
      <c r="G504" s="30"/>
      <c r="H504" s="24" t="str">
        <f t="shared" si="4"/>
        <v/>
      </c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</row>
    <row r="505" spans="2:54" ht="15" customHeight="1" x14ac:dyDescent="0.45">
      <c r="B505" s="39" t="s">
        <v>161</v>
      </c>
      <c r="C505" s="29"/>
      <c r="D505" s="19" t="str">
        <f>IF('TECHNOLOGY REGISTER'!D47="","",'TECHNOLOGY REGISTER'!D47)</f>
        <v/>
      </c>
      <c r="E505" s="29"/>
      <c r="F505" s="41"/>
      <c r="G505" s="29"/>
      <c r="H505" s="32" t="str">
        <f t="shared" si="4"/>
        <v/>
      </c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</row>
    <row r="506" spans="2:54" ht="15" customHeight="1" x14ac:dyDescent="0.45">
      <c r="B506" s="40" t="s">
        <v>161</v>
      </c>
      <c r="C506" s="30"/>
      <c r="D506" s="17" t="str">
        <f>IF('TECHNOLOGY REGISTER'!D48="","",'TECHNOLOGY REGISTER'!D48)</f>
        <v/>
      </c>
      <c r="E506" s="30"/>
      <c r="F506" s="42"/>
      <c r="G506" s="30"/>
      <c r="H506" s="24" t="str">
        <f t="shared" si="4"/>
        <v/>
      </c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</row>
    <row r="507" spans="2:54" ht="15" customHeight="1" x14ac:dyDescent="0.45">
      <c r="B507" s="39" t="s">
        <v>161</v>
      </c>
      <c r="C507" s="29"/>
      <c r="D507" s="19" t="str">
        <f>IF('TECHNOLOGY REGISTER'!D49="","",'TECHNOLOGY REGISTER'!D49)</f>
        <v/>
      </c>
      <c r="E507" s="29"/>
      <c r="F507" s="41"/>
      <c r="G507" s="29"/>
      <c r="H507" s="32" t="str">
        <f t="shared" si="4"/>
        <v/>
      </c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</row>
    <row r="508" spans="2:54" ht="15" customHeight="1" x14ac:dyDescent="0.45">
      <c r="B508" s="40" t="s">
        <v>161</v>
      </c>
      <c r="C508" s="30"/>
      <c r="D508" s="17" t="str">
        <f>IF('TECHNOLOGY REGISTER'!D50="","",'TECHNOLOGY REGISTER'!D50)</f>
        <v/>
      </c>
      <c r="E508" s="30"/>
      <c r="F508" s="42"/>
      <c r="G508" s="30"/>
      <c r="H508" s="24" t="str">
        <f t="shared" si="4"/>
        <v/>
      </c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</row>
    <row r="509" spans="2:54" ht="15" customHeight="1" x14ac:dyDescent="0.45">
      <c r="B509" s="39" t="s">
        <v>161</v>
      </c>
      <c r="C509" s="29"/>
      <c r="D509" s="19" t="str">
        <f>IF('TECHNOLOGY REGISTER'!D51="","",'TECHNOLOGY REGISTER'!D51)</f>
        <v/>
      </c>
      <c r="E509" s="29"/>
      <c r="F509" s="41"/>
      <c r="G509" s="29"/>
      <c r="H509" s="32" t="str">
        <f t="shared" si="4"/>
        <v/>
      </c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</row>
    <row r="510" spans="2:54" ht="15" customHeight="1" x14ac:dyDescent="0.45">
      <c r="B510" s="40" t="s">
        <v>161</v>
      </c>
      <c r="C510" s="30"/>
      <c r="D510" s="17" t="str">
        <f>IF('TECHNOLOGY REGISTER'!D52="","",'TECHNOLOGY REGISTER'!D52)</f>
        <v/>
      </c>
      <c r="E510" s="30"/>
      <c r="F510" s="42"/>
      <c r="G510" s="30"/>
      <c r="H510" s="24" t="str">
        <f t="shared" si="4"/>
        <v/>
      </c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</row>
    <row r="511" spans="2:54" ht="15" customHeight="1" x14ac:dyDescent="0.45">
      <c r="B511" s="39" t="s">
        <v>161</v>
      </c>
      <c r="C511" s="29"/>
      <c r="D511" s="19" t="str">
        <f>IF('TECHNOLOGY REGISTER'!D53="","",'TECHNOLOGY REGISTER'!D53)</f>
        <v/>
      </c>
      <c r="E511" s="29"/>
      <c r="F511" s="41"/>
      <c r="G511" s="29"/>
      <c r="H511" s="32" t="str">
        <f t="shared" si="4"/>
        <v/>
      </c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</row>
    <row r="512" spans="2:54" ht="15" customHeight="1" x14ac:dyDescent="0.45">
      <c r="B512" s="40" t="s">
        <v>161</v>
      </c>
      <c r="C512" s="30"/>
      <c r="D512" s="17" t="str">
        <f>IF('TECHNOLOGY REGISTER'!D54="","",'TECHNOLOGY REGISTER'!D54)</f>
        <v/>
      </c>
      <c r="E512" s="30"/>
      <c r="F512" s="42"/>
      <c r="G512" s="30"/>
      <c r="H512" s="24" t="str">
        <f t="shared" si="4"/>
        <v/>
      </c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</row>
    <row r="513" spans="2:54" ht="15" customHeight="1" x14ac:dyDescent="0.45">
      <c r="B513" s="39" t="s">
        <v>161</v>
      </c>
      <c r="C513" s="29"/>
      <c r="D513" s="19" t="str">
        <f>IF('TECHNOLOGY REGISTER'!D55="","",'TECHNOLOGY REGISTER'!D55)</f>
        <v/>
      </c>
      <c r="E513" s="29"/>
      <c r="F513" s="41"/>
      <c r="G513" s="29"/>
      <c r="H513" s="32" t="str">
        <f t="shared" si="4"/>
        <v/>
      </c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</row>
    <row r="514" spans="2:54" ht="15" customHeight="1" x14ac:dyDescent="0.45">
      <c r="B514" s="40" t="s">
        <v>161</v>
      </c>
      <c r="C514" s="30"/>
      <c r="D514" s="17" t="str">
        <f>IF('TECHNOLOGY REGISTER'!D56="","",'TECHNOLOGY REGISTER'!D56)</f>
        <v/>
      </c>
      <c r="E514" s="30"/>
      <c r="F514" s="42"/>
      <c r="G514" s="30"/>
      <c r="H514" s="24" t="str">
        <f t="shared" si="4"/>
        <v/>
      </c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</row>
  </sheetData>
  <mergeCells count="11">
    <mergeCell ref="B260:BB260"/>
    <mergeCell ref="B311:BB311"/>
    <mergeCell ref="B362:BB362"/>
    <mergeCell ref="B413:BB413"/>
    <mergeCell ref="B464:BB464"/>
    <mergeCell ref="B209:BB209"/>
    <mergeCell ref="B1:BB1"/>
    <mergeCell ref="B5:BB5"/>
    <mergeCell ref="B56:BB56"/>
    <mergeCell ref="B107:BB107"/>
    <mergeCell ref="B158:BB158"/>
  </mergeCells>
  <dataValidations count="1">
    <dataValidation type="list" allowBlank="1" showInputMessage="1" showErrorMessage="1" sqref="G6:G55 G57:G106 G108:G157 G159:G208 G210:G259 G261:G310 G312:G361 G363:G412 G414:G463 G465:G514" xr:uid="{0B72A0D8-8F94-9040-BDCC-3EA5A0F87333}">
      <formula1>"Transmission, Distribution, Direct"</formula1>
    </dataValidation>
  </dataValidations>
  <hyperlinks>
    <hyperlink ref="B2" location="COVER!A1" display="← Return to COVER" xr:uid="{A9C50F89-FFBE-5242-8E9A-F71FC1BEC78C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F1FD37-A1BA-0F4E-A6CE-08EC185F9D7D}">
          <x14:formula1>
            <xm:f>MACROECONOMIC!$C$8:$C$17</xm:f>
          </x14:formula1>
          <xm:sqref>E159:E208 E210:E259 E312:E361 E363:E412 E414:E463 E6:E55 E57:E106 E108:E157 E261:E310 E465:E514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D68F-5DD4-A74E-8D73-4BC2C0EC0D2C}">
  <sheetPr>
    <tabColor theme="6"/>
  </sheetPr>
  <dimension ref="B1:AZ208"/>
  <sheetViews>
    <sheetView showGridLines="0" zoomScale="150" workbookViewId="0">
      <pane xSplit="4" ySplit="4" topLeftCell="E5" activePane="bottomRight" state="frozen"/>
      <selection pane="topRight"/>
      <selection pane="bottomLeft"/>
      <selection pane="bottomRight" activeCell="H21" sqref="H21"/>
    </sheetView>
  </sheetViews>
  <sheetFormatPr defaultColWidth="8.8125" defaultRowHeight="14.25" x14ac:dyDescent="0.45"/>
  <cols>
    <col min="1" max="1" width="3" style="15" customWidth="1"/>
    <col min="2" max="2" width="26.1875" style="15" bestFit="1" customWidth="1"/>
    <col min="3" max="3" width="13" style="15" customWidth="1"/>
    <col min="4" max="4" width="10" style="15" bestFit="1" customWidth="1"/>
    <col min="5" max="5" width="10" style="15" customWidth="1"/>
    <col min="6" max="6" width="12.6875" style="15" bestFit="1" customWidth="1"/>
    <col min="7" max="52" width="8" style="15" customWidth="1"/>
    <col min="53" max="16384" width="8.8125" style="15"/>
  </cols>
  <sheetData>
    <row r="1" spans="2:52" ht="36" customHeight="1" x14ac:dyDescent="0.45">
      <c r="B1" s="70" t="s">
        <v>125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</row>
    <row r="2" spans="2:52" ht="14" customHeight="1" x14ac:dyDescent="0.45">
      <c r="B2" s="52" t="s">
        <v>94</v>
      </c>
    </row>
    <row r="3" spans="2:52" ht="14" customHeight="1" x14ac:dyDescent="0.45">
      <c r="B3" s="28"/>
    </row>
    <row r="4" spans="2:52" ht="24" customHeight="1" thickBot="1" x14ac:dyDescent="0.5">
      <c r="B4" s="21" t="s">
        <v>72</v>
      </c>
      <c r="C4" s="21" t="s">
        <v>73</v>
      </c>
      <c r="D4" s="21" t="s">
        <v>2</v>
      </c>
      <c r="E4" s="21" t="s">
        <v>43</v>
      </c>
      <c r="F4" s="11" t="s">
        <v>96</v>
      </c>
      <c r="G4" s="20">
        <v>2025</v>
      </c>
      <c r="H4" s="20">
        <v>2026</v>
      </c>
      <c r="I4" s="20">
        <v>2027</v>
      </c>
      <c r="J4" s="20">
        <v>2028</v>
      </c>
      <c r="K4" s="20">
        <v>2029</v>
      </c>
      <c r="L4" s="20">
        <v>2030</v>
      </c>
      <c r="M4" s="20">
        <v>2031</v>
      </c>
      <c r="N4" s="20">
        <v>2032</v>
      </c>
      <c r="O4" s="20">
        <v>2033</v>
      </c>
      <c r="P4" s="20">
        <v>2034</v>
      </c>
      <c r="Q4" s="20">
        <v>2035</v>
      </c>
      <c r="R4" s="20">
        <v>2036</v>
      </c>
      <c r="S4" s="20">
        <v>2037</v>
      </c>
      <c r="T4" s="20">
        <v>2038</v>
      </c>
      <c r="U4" s="20">
        <v>2039</v>
      </c>
      <c r="V4" s="20">
        <v>2040</v>
      </c>
      <c r="W4" s="20">
        <v>2041</v>
      </c>
      <c r="X4" s="20">
        <v>2042</v>
      </c>
      <c r="Y4" s="20">
        <v>2043</v>
      </c>
      <c r="Z4" s="20">
        <v>2044</v>
      </c>
      <c r="AA4" s="20">
        <v>2045</v>
      </c>
      <c r="AB4" s="20">
        <v>2046</v>
      </c>
      <c r="AC4" s="20">
        <v>2047</v>
      </c>
      <c r="AD4" s="20">
        <v>2048</v>
      </c>
      <c r="AE4" s="20">
        <v>2049</v>
      </c>
      <c r="AF4" s="20">
        <v>2050</v>
      </c>
      <c r="AG4" s="20">
        <v>2051</v>
      </c>
      <c r="AH4" s="20">
        <v>2052</v>
      </c>
      <c r="AI4" s="20">
        <v>2053</v>
      </c>
      <c r="AJ4" s="20">
        <v>2054</v>
      </c>
      <c r="AK4" s="20">
        <v>2055</v>
      </c>
      <c r="AL4" s="20">
        <v>2056</v>
      </c>
      <c r="AM4" s="20">
        <v>2057</v>
      </c>
      <c r="AN4" s="20">
        <v>2058</v>
      </c>
      <c r="AO4" s="20">
        <v>2059</v>
      </c>
      <c r="AP4" s="20">
        <v>2060</v>
      </c>
      <c r="AQ4" s="20">
        <v>2061</v>
      </c>
      <c r="AR4" s="20">
        <v>2062</v>
      </c>
      <c r="AS4" s="20">
        <v>2063</v>
      </c>
      <c r="AT4" s="20">
        <v>2064</v>
      </c>
      <c r="AU4" s="20">
        <v>2065</v>
      </c>
      <c r="AV4" s="20">
        <v>2066</v>
      </c>
      <c r="AW4" s="20">
        <v>2067</v>
      </c>
      <c r="AX4" s="20">
        <v>2068</v>
      </c>
      <c r="AY4" s="20">
        <v>2069</v>
      </c>
      <c r="AZ4" s="20">
        <v>2070</v>
      </c>
    </row>
    <row r="5" spans="2:52" customFormat="1" ht="20" customHeight="1" x14ac:dyDescent="0.5">
      <c r="B5" s="69" t="s">
        <v>126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</row>
    <row r="6" spans="2:52" ht="17" customHeight="1" x14ac:dyDescent="0.45">
      <c r="B6" s="33" t="s">
        <v>127</v>
      </c>
      <c r="C6" s="29" t="s">
        <v>5</v>
      </c>
      <c r="D6" s="19" t="str">
        <f>IF('TECHNOLOGY REGISTER'!D7="","",'TECHNOLOGY REGISTER'!D7)</f>
        <v>Biomass</v>
      </c>
      <c r="E6" s="32" t="s">
        <v>51</v>
      </c>
      <c r="F6" s="32" t="s">
        <v>100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36">
        <v>0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  <c r="AB6" s="36">
        <v>0</v>
      </c>
      <c r="AC6" s="36">
        <v>0</v>
      </c>
      <c r="AD6" s="36">
        <v>0</v>
      </c>
      <c r="AE6" s="36">
        <v>0</v>
      </c>
      <c r="AF6" s="36">
        <v>0</v>
      </c>
      <c r="AG6" s="36">
        <v>0</v>
      </c>
      <c r="AH6" s="36">
        <v>0</v>
      </c>
      <c r="AI6" s="36">
        <v>0</v>
      </c>
      <c r="AJ6" s="36">
        <v>0</v>
      </c>
      <c r="AK6" s="36">
        <v>0</v>
      </c>
      <c r="AL6" s="36">
        <v>0</v>
      </c>
      <c r="AM6" s="36">
        <v>0</v>
      </c>
      <c r="AN6" s="36">
        <v>0</v>
      </c>
      <c r="AO6" s="36">
        <v>0</v>
      </c>
      <c r="AP6" s="36">
        <v>0</v>
      </c>
      <c r="AQ6" s="36">
        <v>0</v>
      </c>
      <c r="AR6" s="36">
        <v>0</v>
      </c>
      <c r="AS6" s="36">
        <v>0</v>
      </c>
      <c r="AT6" s="36">
        <v>0</v>
      </c>
      <c r="AU6" s="36">
        <v>0</v>
      </c>
      <c r="AV6" s="36">
        <v>0</v>
      </c>
      <c r="AW6" s="36">
        <v>0</v>
      </c>
      <c r="AX6" s="36">
        <v>0</v>
      </c>
      <c r="AY6" s="36">
        <v>0</v>
      </c>
      <c r="AZ6" s="36">
        <v>0</v>
      </c>
    </row>
    <row r="7" spans="2:52" ht="17" customHeight="1" x14ac:dyDescent="0.45">
      <c r="B7" s="8" t="s">
        <v>127</v>
      </c>
      <c r="C7" s="30" t="s">
        <v>5</v>
      </c>
      <c r="D7" s="17" t="str">
        <f>IF('TECHNOLOGY REGISTER'!D8="","",'TECHNOLOGY REGISTER'!D8)</f>
        <v>Geothermal</v>
      </c>
      <c r="E7" s="38" t="s">
        <v>51</v>
      </c>
      <c r="F7" s="24" t="s">
        <v>100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37">
        <v>0</v>
      </c>
      <c r="AM7" s="37">
        <v>0</v>
      </c>
      <c r="AN7" s="37">
        <v>0</v>
      </c>
      <c r="AO7" s="37">
        <v>0</v>
      </c>
      <c r="AP7" s="37">
        <v>0</v>
      </c>
      <c r="AQ7" s="37">
        <v>0</v>
      </c>
      <c r="AR7" s="37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0</v>
      </c>
      <c r="AY7" s="37">
        <v>0</v>
      </c>
      <c r="AZ7" s="37">
        <v>0</v>
      </c>
    </row>
    <row r="8" spans="2:52" ht="17" customHeight="1" x14ac:dyDescent="0.45">
      <c r="B8" s="33" t="s">
        <v>127</v>
      </c>
      <c r="C8" s="29" t="s">
        <v>5</v>
      </c>
      <c r="D8" s="19" t="str">
        <f>IF('TECHNOLOGY REGISTER'!D9="","",'TECHNOLOGY REGISTER'!D9)</f>
        <v>Solar PV</v>
      </c>
      <c r="E8" s="32" t="s">
        <v>51</v>
      </c>
      <c r="F8" s="32" t="s">
        <v>100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6">
        <v>0</v>
      </c>
      <c r="V8" s="36">
        <v>0</v>
      </c>
      <c r="W8" s="36">
        <v>0</v>
      </c>
      <c r="X8" s="36">
        <v>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36">
        <v>0</v>
      </c>
      <c r="AS8" s="36">
        <v>0</v>
      </c>
      <c r="AT8" s="36">
        <v>0</v>
      </c>
      <c r="AU8" s="36">
        <v>0</v>
      </c>
      <c r="AV8" s="36">
        <v>0</v>
      </c>
      <c r="AW8" s="36">
        <v>0</v>
      </c>
      <c r="AX8" s="36">
        <v>0</v>
      </c>
      <c r="AY8" s="36">
        <v>0</v>
      </c>
      <c r="AZ8" s="36">
        <v>0</v>
      </c>
    </row>
    <row r="9" spans="2:52" ht="17" customHeight="1" x14ac:dyDescent="0.45">
      <c r="B9" s="8" t="s">
        <v>127</v>
      </c>
      <c r="C9" s="30" t="s">
        <v>5</v>
      </c>
      <c r="D9" s="17" t="str">
        <f>IF('TECHNOLOGY REGISTER'!D10="","",'TECHNOLOGY REGISTER'!D10)</f>
        <v>CSP</v>
      </c>
      <c r="E9" s="38" t="s">
        <v>51</v>
      </c>
      <c r="F9" s="24" t="s">
        <v>100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37">
        <v>0</v>
      </c>
      <c r="AS9" s="37">
        <v>0</v>
      </c>
      <c r="AT9" s="37">
        <v>0</v>
      </c>
      <c r="AU9" s="37">
        <v>0</v>
      </c>
      <c r="AV9" s="37">
        <v>0</v>
      </c>
      <c r="AW9" s="37">
        <v>0</v>
      </c>
      <c r="AX9" s="37">
        <v>0</v>
      </c>
      <c r="AY9" s="37">
        <v>0</v>
      </c>
      <c r="AZ9" s="37">
        <v>0</v>
      </c>
    </row>
    <row r="10" spans="2:52" ht="17" customHeight="1" x14ac:dyDescent="0.45">
      <c r="B10" s="33" t="s">
        <v>127</v>
      </c>
      <c r="C10" s="29" t="s">
        <v>5</v>
      </c>
      <c r="D10" s="19" t="str">
        <f>IF('TECHNOLOGY REGISTER'!D11="","",'TECHNOLOGY REGISTER'!D11)</f>
        <v>Hydropower</v>
      </c>
      <c r="E10" s="32" t="s">
        <v>51</v>
      </c>
      <c r="F10" s="32" t="s">
        <v>100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>
        <v>0</v>
      </c>
      <c r="V10" s="36">
        <v>0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36">
        <v>0</v>
      </c>
      <c r="AS10" s="36">
        <v>0</v>
      </c>
      <c r="AT10" s="36">
        <v>0</v>
      </c>
      <c r="AU10" s="36">
        <v>0</v>
      </c>
      <c r="AV10" s="36">
        <v>0</v>
      </c>
      <c r="AW10" s="36">
        <v>0</v>
      </c>
      <c r="AX10" s="36">
        <v>0</v>
      </c>
      <c r="AY10" s="36">
        <v>0</v>
      </c>
      <c r="AZ10" s="36">
        <v>0</v>
      </c>
    </row>
    <row r="11" spans="2:52" ht="17" customHeight="1" x14ac:dyDescent="0.45">
      <c r="B11" s="8" t="s">
        <v>127</v>
      </c>
      <c r="C11" s="30" t="s">
        <v>5</v>
      </c>
      <c r="D11" s="17" t="str">
        <f>IF('TECHNOLOGY REGISTER'!D12="","",'TECHNOLOGY REGISTER'!D12)</f>
        <v>Nuclear</v>
      </c>
      <c r="E11" s="38" t="s">
        <v>51</v>
      </c>
      <c r="F11" s="24" t="s">
        <v>100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  <c r="AV11" s="37">
        <v>0</v>
      </c>
      <c r="AW11" s="37">
        <v>0</v>
      </c>
      <c r="AX11" s="37">
        <v>0</v>
      </c>
      <c r="AY11" s="37">
        <v>0</v>
      </c>
      <c r="AZ11" s="37">
        <v>0</v>
      </c>
    </row>
    <row r="12" spans="2:52" ht="17" customHeight="1" x14ac:dyDescent="0.45">
      <c r="B12" s="33" t="s">
        <v>127</v>
      </c>
      <c r="C12" s="29" t="s">
        <v>5</v>
      </c>
      <c r="D12" s="19" t="str">
        <f>IF('TECHNOLOGY REGISTER'!D13="","",'TECHNOLOGY REGISTER'!D13)</f>
        <v>Wind</v>
      </c>
      <c r="E12" s="32" t="s">
        <v>51</v>
      </c>
      <c r="F12" s="32" t="s">
        <v>100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T12" s="36">
        <v>0</v>
      </c>
      <c r="U12" s="36">
        <v>0</v>
      </c>
      <c r="V12" s="36">
        <v>0</v>
      </c>
      <c r="W12" s="36">
        <v>0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0</v>
      </c>
      <c r="AW12" s="36">
        <v>0</v>
      </c>
      <c r="AX12" s="36">
        <v>0</v>
      </c>
      <c r="AY12" s="36">
        <v>0</v>
      </c>
      <c r="AZ12" s="36">
        <v>0</v>
      </c>
    </row>
    <row r="13" spans="2:52" ht="17" customHeight="1" x14ac:dyDescent="0.45">
      <c r="B13" s="8" t="s">
        <v>127</v>
      </c>
      <c r="C13" s="30" t="s">
        <v>5</v>
      </c>
      <c r="D13" s="17" t="str">
        <f>IF('TECHNOLOGY REGISTER'!D14="","",'TECHNOLOGY REGISTER'!D14)</f>
        <v>Coal</v>
      </c>
      <c r="E13" s="38" t="s">
        <v>51</v>
      </c>
      <c r="F13" s="24" t="s">
        <v>100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0</v>
      </c>
      <c r="AU13" s="37">
        <v>0</v>
      </c>
      <c r="AV13" s="37">
        <v>0</v>
      </c>
      <c r="AW13" s="37">
        <v>0</v>
      </c>
      <c r="AX13" s="37">
        <v>0</v>
      </c>
      <c r="AY13" s="37">
        <v>0</v>
      </c>
      <c r="AZ13" s="37">
        <v>0</v>
      </c>
    </row>
    <row r="14" spans="2:52" ht="17" customHeight="1" x14ac:dyDescent="0.45">
      <c r="B14" s="33" t="s">
        <v>127</v>
      </c>
      <c r="C14" s="29" t="s">
        <v>5</v>
      </c>
      <c r="D14" s="19" t="str">
        <f>IF('TECHNOLOGY REGISTER'!D15="","",'TECHNOLOGY REGISTER'!D15)</f>
        <v>Oil</v>
      </c>
      <c r="E14" s="32" t="s">
        <v>51</v>
      </c>
      <c r="F14" s="32" t="s">
        <v>100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6">
        <v>0</v>
      </c>
      <c r="AH14" s="36">
        <v>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36">
        <v>0</v>
      </c>
      <c r="AS14" s="36">
        <v>0</v>
      </c>
      <c r="AT14" s="36">
        <v>0</v>
      </c>
      <c r="AU14" s="36">
        <v>0</v>
      </c>
      <c r="AV14" s="36">
        <v>0</v>
      </c>
      <c r="AW14" s="36">
        <v>0</v>
      </c>
      <c r="AX14" s="36">
        <v>0</v>
      </c>
      <c r="AY14" s="36">
        <v>0</v>
      </c>
      <c r="AZ14" s="36">
        <v>0</v>
      </c>
    </row>
    <row r="15" spans="2:52" ht="17" customHeight="1" x14ac:dyDescent="0.45">
      <c r="B15" s="8" t="s">
        <v>127</v>
      </c>
      <c r="C15" s="30" t="s">
        <v>5</v>
      </c>
      <c r="D15" s="17" t="str">
        <f>IF('TECHNOLOGY REGISTER'!D16="","",'TECHNOLOGY REGISTER'!D16)</f>
        <v>Gas</v>
      </c>
      <c r="E15" s="38" t="s">
        <v>51</v>
      </c>
      <c r="F15" s="24" t="s">
        <v>100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  <c r="AV15" s="37">
        <v>0</v>
      </c>
      <c r="AW15" s="37">
        <v>0</v>
      </c>
      <c r="AX15" s="37">
        <v>0</v>
      </c>
      <c r="AY15" s="37">
        <v>0</v>
      </c>
      <c r="AZ15" s="37">
        <v>0</v>
      </c>
    </row>
    <row r="16" spans="2:52" ht="17" customHeight="1" x14ac:dyDescent="0.45">
      <c r="B16" s="33" t="s">
        <v>127</v>
      </c>
      <c r="C16" s="29" t="s">
        <v>5</v>
      </c>
      <c r="D16" s="19" t="str">
        <f>IF('TECHNOLOGY REGISTER'!D17="","",'TECHNOLOGY REGISTER'!D17)</f>
        <v>Transmission</v>
      </c>
      <c r="E16" s="32" t="s">
        <v>51</v>
      </c>
      <c r="F16" s="32" t="s">
        <v>100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  <c r="R16" s="36">
        <v>0</v>
      </c>
      <c r="S16" s="36">
        <v>0</v>
      </c>
      <c r="T16" s="36">
        <v>0</v>
      </c>
      <c r="U16" s="36">
        <v>0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6">
        <v>0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36">
        <v>0</v>
      </c>
      <c r="AS16" s="36">
        <v>0</v>
      </c>
      <c r="AT16" s="36">
        <v>0</v>
      </c>
      <c r="AU16" s="36">
        <v>0</v>
      </c>
      <c r="AV16" s="36">
        <v>0</v>
      </c>
      <c r="AW16" s="36">
        <v>0</v>
      </c>
      <c r="AX16" s="36">
        <v>0</v>
      </c>
      <c r="AY16" s="36">
        <v>0</v>
      </c>
      <c r="AZ16" s="36">
        <v>0</v>
      </c>
    </row>
    <row r="17" spans="2:52" ht="17" customHeight="1" x14ac:dyDescent="0.45">
      <c r="B17" s="8" t="s">
        <v>127</v>
      </c>
      <c r="C17" s="30" t="s">
        <v>5</v>
      </c>
      <c r="D17" s="17" t="str">
        <f>IF('TECHNOLOGY REGISTER'!D18="","",'TECHNOLOGY REGISTER'!D18)</f>
        <v>Distribution</v>
      </c>
      <c r="E17" s="38" t="s">
        <v>51</v>
      </c>
      <c r="F17" s="24" t="s">
        <v>100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0</v>
      </c>
      <c r="AT17" s="37">
        <v>0</v>
      </c>
      <c r="AU17" s="37">
        <v>0</v>
      </c>
      <c r="AV17" s="37">
        <v>0</v>
      </c>
      <c r="AW17" s="37">
        <v>0</v>
      </c>
      <c r="AX17" s="37">
        <v>0</v>
      </c>
      <c r="AY17" s="37">
        <v>0</v>
      </c>
      <c r="AZ17" s="37">
        <v>0</v>
      </c>
    </row>
    <row r="18" spans="2:52" ht="17" customHeight="1" x14ac:dyDescent="0.45">
      <c r="B18" s="33" t="s">
        <v>127</v>
      </c>
      <c r="C18" s="29" t="s">
        <v>5</v>
      </c>
      <c r="D18" s="19" t="str">
        <f>IF('TECHNOLOGY REGISTER'!D19="","",'TECHNOLOGY REGISTER'!D19)</f>
        <v>Imports</v>
      </c>
      <c r="E18" s="32" t="s">
        <v>51</v>
      </c>
      <c r="F18" s="32" t="s">
        <v>100</v>
      </c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</row>
    <row r="19" spans="2:52" ht="17" customHeight="1" x14ac:dyDescent="0.45">
      <c r="B19" s="8" t="s">
        <v>127</v>
      </c>
      <c r="C19" s="30" t="s">
        <v>5</v>
      </c>
      <c r="D19" s="17" t="str">
        <f>IF('TECHNOLOGY REGISTER'!D20="","",'TECHNOLOGY REGISTER'!D20)</f>
        <v>Energy Exports</v>
      </c>
      <c r="E19" s="38" t="s">
        <v>51</v>
      </c>
      <c r="F19" s="24" t="s">
        <v>100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</row>
    <row r="20" spans="2:52" ht="17" customHeight="1" x14ac:dyDescent="0.45">
      <c r="B20" s="33" t="s">
        <v>127</v>
      </c>
      <c r="C20" s="29" t="s">
        <v>5</v>
      </c>
      <c r="D20" s="19" t="str">
        <f>IF('TECHNOLOGY REGISTER'!D21="","",'TECHNOLOGY REGISTER'!D21)</f>
        <v>Direct Solar</v>
      </c>
      <c r="E20" s="32" t="s">
        <v>51</v>
      </c>
      <c r="F20" s="32" t="s">
        <v>100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</row>
    <row r="21" spans="2:52" ht="15" customHeight="1" x14ac:dyDescent="0.45">
      <c r="B21" s="8" t="s">
        <v>127</v>
      </c>
      <c r="C21" s="30" t="s">
        <v>5</v>
      </c>
      <c r="D21" s="17" t="str">
        <f>IF('TECHNOLOGY REGISTER'!D22="","",'TECHNOLOGY REGISTER'!D22)</f>
        <v>Direct Oil</v>
      </c>
      <c r="E21" s="38" t="s">
        <v>51</v>
      </c>
      <c r="F21" s="24" t="s">
        <v>100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2:52" ht="15" customHeight="1" x14ac:dyDescent="0.45">
      <c r="B22" s="33" t="s">
        <v>127</v>
      </c>
      <c r="C22" s="29" t="s">
        <v>5</v>
      </c>
      <c r="D22" s="19" t="str">
        <f>IF('TECHNOLOGY REGISTER'!D23="","",'TECHNOLOGY REGISTER'!D23)</f>
        <v>Direct Hydro</v>
      </c>
      <c r="E22" s="32" t="s">
        <v>51</v>
      </c>
      <c r="F22" s="32" t="s">
        <v>100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spans="2:52" ht="15" customHeight="1" x14ac:dyDescent="0.45">
      <c r="B23" s="8" t="s">
        <v>127</v>
      </c>
      <c r="C23" s="30" t="s">
        <v>5</v>
      </c>
      <c r="D23" s="17" t="str">
        <f>IF('TECHNOLOGY REGISTER'!D24="","",'TECHNOLOGY REGISTER'!D24)</f>
        <v/>
      </c>
      <c r="E23" s="38" t="s">
        <v>51</v>
      </c>
      <c r="F23" s="24" t="s">
        <v>100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2:52" ht="15" customHeight="1" x14ac:dyDescent="0.45">
      <c r="B24" s="33" t="s">
        <v>127</v>
      </c>
      <c r="C24" s="29" t="s">
        <v>5</v>
      </c>
      <c r="D24" s="19" t="str">
        <f>IF('TECHNOLOGY REGISTER'!D25="","",'TECHNOLOGY REGISTER'!D25)</f>
        <v/>
      </c>
      <c r="E24" s="32" t="s">
        <v>51</v>
      </c>
      <c r="F24" s="32" t="s">
        <v>100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spans="2:52" ht="15" customHeight="1" x14ac:dyDescent="0.45">
      <c r="B25" s="8" t="s">
        <v>127</v>
      </c>
      <c r="C25" s="30" t="s">
        <v>5</v>
      </c>
      <c r="D25" s="17" t="str">
        <f>IF('TECHNOLOGY REGISTER'!D26="","",'TECHNOLOGY REGISTER'!D26)</f>
        <v/>
      </c>
      <c r="E25" s="38" t="s">
        <v>51</v>
      </c>
      <c r="F25" s="24" t="s">
        <v>100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2:52" ht="15" customHeight="1" x14ac:dyDescent="0.45">
      <c r="B26" s="33" t="s">
        <v>127</v>
      </c>
      <c r="C26" s="29" t="s">
        <v>5</v>
      </c>
      <c r="D26" s="19" t="str">
        <f>IF('TECHNOLOGY REGISTER'!D27="","",'TECHNOLOGY REGISTER'!D27)</f>
        <v/>
      </c>
      <c r="E26" s="32" t="s">
        <v>51</v>
      </c>
      <c r="F26" s="32" t="s">
        <v>100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spans="2:52" ht="15" customHeight="1" x14ac:dyDescent="0.45">
      <c r="B27" s="8" t="s">
        <v>127</v>
      </c>
      <c r="C27" s="30" t="s">
        <v>5</v>
      </c>
      <c r="D27" s="17" t="str">
        <f>IF('TECHNOLOGY REGISTER'!D28="","",'TECHNOLOGY REGISTER'!D28)</f>
        <v/>
      </c>
      <c r="E27" s="38" t="s">
        <v>51</v>
      </c>
      <c r="F27" s="24" t="s">
        <v>100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2:52" ht="15" customHeight="1" x14ac:dyDescent="0.45">
      <c r="B28" s="33" t="s">
        <v>127</v>
      </c>
      <c r="C28" s="29" t="s">
        <v>5</v>
      </c>
      <c r="D28" s="19" t="str">
        <f>IF('TECHNOLOGY REGISTER'!D29="","",'TECHNOLOGY REGISTER'!D29)</f>
        <v/>
      </c>
      <c r="E28" s="32" t="s">
        <v>51</v>
      </c>
      <c r="F28" s="32" t="s">
        <v>100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pans="2:52" ht="15" customHeight="1" x14ac:dyDescent="0.45">
      <c r="B29" s="8" t="s">
        <v>127</v>
      </c>
      <c r="C29" s="30" t="s">
        <v>5</v>
      </c>
      <c r="D29" s="17" t="str">
        <f>IF('TECHNOLOGY REGISTER'!D30="","",'TECHNOLOGY REGISTER'!D30)</f>
        <v/>
      </c>
      <c r="E29" s="38" t="s">
        <v>51</v>
      </c>
      <c r="F29" s="24" t="s">
        <v>100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2:52" ht="15" customHeight="1" x14ac:dyDescent="0.45">
      <c r="B30" s="33" t="s">
        <v>127</v>
      </c>
      <c r="C30" s="29" t="s">
        <v>5</v>
      </c>
      <c r="D30" s="19" t="str">
        <f>IF('TECHNOLOGY REGISTER'!D31="","",'TECHNOLOGY REGISTER'!D31)</f>
        <v/>
      </c>
      <c r="E30" s="32" t="s">
        <v>51</v>
      </c>
      <c r="F30" s="32" t="s">
        <v>100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spans="2:52" ht="15" customHeight="1" x14ac:dyDescent="0.45">
      <c r="B31" s="8" t="s">
        <v>127</v>
      </c>
      <c r="C31" s="30" t="s">
        <v>5</v>
      </c>
      <c r="D31" s="17" t="str">
        <f>IF('TECHNOLOGY REGISTER'!D32="","",'TECHNOLOGY REGISTER'!D32)</f>
        <v/>
      </c>
      <c r="E31" s="38" t="s">
        <v>51</v>
      </c>
      <c r="F31" s="24" t="s">
        <v>100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2:52" ht="15" customHeight="1" x14ac:dyDescent="0.45">
      <c r="B32" s="33" t="s">
        <v>127</v>
      </c>
      <c r="C32" s="29" t="s">
        <v>5</v>
      </c>
      <c r="D32" s="19" t="str">
        <f>IF('TECHNOLOGY REGISTER'!D33="","",'TECHNOLOGY REGISTER'!D33)</f>
        <v/>
      </c>
      <c r="E32" s="32" t="s">
        <v>51</v>
      </c>
      <c r="F32" s="32" t="s">
        <v>100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2:52" ht="15" customHeight="1" x14ac:dyDescent="0.45">
      <c r="B33" s="8" t="s">
        <v>127</v>
      </c>
      <c r="C33" s="30" t="s">
        <v>5</v>
      </c>
      <c r="D33" s="17" t="str">
        <f>IF('TECHNOLOGY REGISTER'!D34="","",'TECHNOLOGY REGISTER'!D34)</f>
        <v/>
      </c>
      <c r="E33" s="38" t="s">
        <v>51</v>
      </c>
      <c r="F33" s="24" t="s">
        <v>100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2:52" ht="15" customHeight="1" x14ac:dyDescent="0.45">
      <c r="B34" s="33" t="s">
        <v>127</v>
      </c>
      <c r="C34" s="29" t="s">
        <v>5</v>
      </c>
      <c r="D34" s="19" t="str">
        <f>IF('TECHNOLOGY REGISTER'!D35="","",'TECHNOLOGY REGISTER'!D35)</f>
        <v/>
      </c>
      <c r="E34" s="32" t="s">
        <v>51</v>
      </c>
      <c r="F34" s="32" t="s">
        <v>100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2:52" ht="15" customHeight="1" x14ac:dyDescent="0.45">
      <c r="B35" s="8" t="s">
        <v>127</v>
      </c>
      <c r="C35" s="30" t="s">
        <v>5</v>
      </c>
      <c r="D35" s="17" t="str">
        <f>IF('TECHNOLOGY REGISTER'!D36="","",'TECHNOLOGY REGISTER'!D36)</f>
        <v/>
      </c>
      <c r="E35" s="38" t="s">
        <v>51</v>
      </c>
      <c r="F35" s="24" t="s">
        <v>100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2:52" ht="15" customHeight="1" x14ac:dyDescent="0.45">
      <c r="B36" s="33" t="s">
        <v>127</v>
      </c>
      <c r="C36" s="29" t="s">
        <v>5</v>
      </c>
      <c r="D36" s="19" t="str">
        <f>IF('TECHNOLOGY REGISTER'!D37="","",'TECHNOLOGY REGISTER'!D37)</f>
        <v/>
      </c>
      <c r="E36" s="32" t="s">
        <v>51</v>
      </c>
      <c r="F36" s="32" t="s">
        <v>100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spans="2:52" ht="15" customHeight="1" x14ac:dyDescent="0.45">
      <c r="B37" s="8" t="s">
        <v>127</v>
      </c>
      <c r="C37" s="30" t="s">
        <v>5</v>
      </c>
      <c r="D37" s="17" t="str">
        <f>IF('TECHNOLOGY REGISTER'!D38="","",'TECHNOLOGY REGISTER'!D38)</f>
        <v/>
      </c>
      <c r="E37" s="38" t="s">
        <v>51</v>
      </c>
      <c r="F37" s="24" t="s">
        <v>100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</row>
    <row r="38" spans="2:52" ht="15" customHeight="1" x14ac:dyDescent="0.45">
      <c r="B38" s="33" t="s">
        <v>127</v>
      </c>
      <c r="C38" s="29" t="s">
        <v>5</v>
      </c>
      <c r="D38" s="19" t="str">
        <f>IF('TECHNOLOGY REGISTER'!D39="","",'TECHNOLOGY REGISTER'!D39)</f>
        <v/>
      </c>
      <c r="E38" s="32" t="s">
        <v>51</v>
      </c>
      <c r="F38" s="32" t="s">
        <v>100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pans="2:52" ht="15" customHeight="1" x14ac:dyDescent="0.45">
      <c r="B39" s="8" t="s">
        <v>127</v>
      </c>
      <c r="C39" s="30" t="s">
        <v>5</v>
      </c>
      <c r="D39" s="17" t="str">
        <f>IF('TECHNOLOGY REGISTER'!D40="","",'TECHNOLOGY REGISTER'!D40)</f>
        <v/>
      </c>
      <c r="E39" s="38" t="s">
        <v>51</v>
      </c>
      <c r="F39" s="24" t="s">
        <v>100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2:52" ht="15" customHeight="1" x14ac:dyDescent="0.45">
      <c r="B40" s="33" t="s">
        <v>127</v>
      </c>
      <c r="C40" s="29" t="s">
        <v>5</v>
      </c>
      <c r="D40" s="19" t="str">
        <f>IF('TECHNOLOGY REGISTER'!D41="","",'TECHNOLOGY REGISTER'!D41)</f>
        <v/>
      </c>
      <c r="E40" s="32" t="s">
        <v>51</v>
      </c>
      <c r="F40" s="32" t="s">
        <v>100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pans="2:52" ht="15" customHeight="1" x14ac:dyDescent="0.45">
      <c r="B41" s="8" t="s">
        <v>127</v>
      </c>
      <c r="C41" s="30" t="s">
        <v>5</v>
      </c>
      <c r="D41" s="17" t="str">
        <f>IF('TECHNOLOGY REGISTER'!D42="","",'TECHNOLOGY REGISTER'!D42)</f>
        <v/>
      </c>
      <c r="E41" s="38" t="s">
        <v>51</v>
      </c>
      <c r="F41" s="24" t="s">
        <v>100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2:52" ht="15" customHeight="1" x14ac:dyDescent="0.45">
      <c r="B42" s="33" t="s">
        <v>127</v>
      </c>
      <c r="C42" s="29" t="s">
        <v>5</v>
      </c>
      <c r="D42" s="19" t="str">
        <f>IF('TECHNOLOGY REGISTER'!D43="","",'TECHNOLOGY REGISTER'!D43)</f>
        <v/>
      </c>
      <c r="E42" s="32" t="s">
        <v>51</v>
      </c>
      <c r="F42" s="32" t="s">
        <v>100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2:52" ht="15" customHeight="1" x14ac:dyDescent="0.45">
      <c r="B43" s="8" t="s">
        <v>127</v>
      </c>
      <c r="C43" s="30" t="s">
        <v>5</v>
      </c>
      <c r="D43" s="17" t="str">
        <f>IF('TECHNOLOGY REGISTER'!D44="","",'TECHNOLOGY REGISTER'!D44)</f>
        <v/>
      </c>
      <c r="E43" s="38" t="s">
        <v>51</v>
      </c>
      <c r="F43" s="24" t="s">
        <v>100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</row>
    <row r="44" spans="2:52" ht="15" customHeight="1" x14ac:dyDescent="0.45">
      <c r="B44" s="33" t="s">
        <v>127</v>
      </c>
      <c r="C44" s="29" t="s">
        <v>5</v>
      </c>
      <c r="D44" s="19" t="str">
        <f>IF('TECHNOLOGY REGISTER'!D45="","",'TECHNOLOGY REGISTER'!D45)</f>
        <v/>
      </c>
      <c r="E44" s="32" t="s">
        <v>51</v>
      </c>
      <c r="F44" s="32" t="s">
        <v>100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pans="2:52" ht="15" customHeight="1" x14ac:dyDescent="0.45">
      <c r="B45" s="8" t="s">
        <v>127</v>
      </c>
      <c r="C45" s="30" t="s">
        <v>5</v>
      </c>
      <c r="D45" s="17" t="str">
        <f>IF('TECHNOLOGY REGISTER'!D46="","",'TECHNOLOGY REGISTER'!D46)</f>
        <v/>
      </c>
      <c r="E45" s="38" t="s">
        <v>51</v>
      </c>
      <c r="F45" s="24" t="s">
        <v>100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</row>
    <row r="46" spans="2:52" ht="15" customHeight="1" x14ac:dyDescent="0.45">
      <c r="B46" s="33" t="s">
        <v>127</v>
      </c>
      <c r="C46" s="29" t="s">
        <v>5</v>
      </c>
      <c r="D46" s="19" t="str">
        <f>IF('TECHNOLOGY REGISTER'!D47="","",'TECHNOLOGY REGISTER'!D47)</f>
        <v/>
      </c>
      <c r="E46" s="32" t="s">
        <v>51</v>
      </c>
      <c r="F46" s="32" t="s">
        <v>100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pans="2:52" ht="15" customHeight="1" x14ac:dyDescent="0.45">
      <c r="B47" s="8" t="s">
        <v>127</v>
      </c>
      <c r="C47" s="30" t="s">
        <v>5</v>
      </c>
      <c r="D47" s="17" t="str">
        <f>IF('TECHNOLOGY REGISTER'!D48="","",'TECHNOLOGY REGISTER'!D48)</f>
        <v/>
      </c>
      <c r="E47" s="38" t="s">
        <v>51</v>
      </c>
      <c r="F47" s="24" t="s">
        <v>100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</row>
    <row r="48" spans="2:52" ht="15" customHeight="1" x14ac:dyDescent="0.45">
      <c r="B48" s="33" t="s">
        <v>127</v>
      </c>
      <c r="C48" s="29" t="s">
        <v>5</v>
      </c>
      <c r="D48" s="19" t="str">
        <f>IF('TECHNOLOGY REGISTER'!D49="","",'TECHNOLOGY REGISTER'!D49)</f>
        <v/>
      </c>
      <c r="E48" s="32" t="s">
        <v>51</v>
      </c>
      <c r="F48" s="32" t="s">
        <v>100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pans="2:52" ht="15" customHeight="1" x14ac:dyDescent="0.45">
      <c r="B49" s="8" t="s">
        <v>127</v>
      </c>
      <c r="C49" s="30" t="s">
        <v>5</v>
      </c>
      <c r="D49" s="17" t="str">
        <f>IF('TECHNOLOGY REGISTER'!D50="","",'TECHNOLOGY REGISTER'!D50)</f>
        <v/>
      </c>
      <c r="E49" s="38" t="s">
        <v>51</v>
      </c>
      <c r="F49" s="24" t="s">
        <v>100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2:52" ht="15" customHeight="1" x14ac:dyDescent="0.45">
      <c r="B50" s="33" t="s">
        <v>127</v>
      </c>
      <c r="C50" s="29" t="s">
        <v>5</v>
      </c>
      <c r="D50" s="19" t="str">
        <f>IF('TECHNOLOGY REGISTER'!D51="","",'TECHNOLOGY REGISTER'!D51)</f>
        <v/>
      </c>
      <c r="E50" s="32" t="s">
        <v>51</v>
      </c>
      <c r="F50" s="32" t="s">
        <v>100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2:52" ht="15" customHeight="1" x14ac:dyDescent="0.45">
      <c r="B51" s="8" t="s">
        <v>127</v>
      </c>
      <c r="C51" s="30" t="s">
        <v>5</v>
      </c>
      <c r="D51" s="17" t="str">
        <f>IF('TECHNOLOGY REGISTER'!D52="","",'TECHNOLOGY REGISTER'!D52)</f>
        <v/>
      </c>
      <c r="E51" s="38" t="s">
        <v>51</v>
      </c>
      <c r="F51" s="24" t="s">
        <v>100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</row>
    <row r="52" spans="2:52" ht="15" customHeight="1" x14ac:dyDescent="0.45">
      <c r="B52" s="33" t="s">
        <v>127</v>
      </c>
      <c r="C52" s="29" t="s">
        <v>5</v>
      </c>
      <c r="D52" s="19" t="str">
        <f>IF('TECHNOLOGY REGISTER'!D53="","",'TECHNOLOGY REGISTER'!D53)</f>
        <v/>
      </c>
      <c r="E52" s="32" t="s">
        <v>51</v>
      </c>
      <c r="F52" s="32" t="s">
        <v>100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spans="2:52" ht="15" customHeight="1" x14ac:dyDescent="0.45">
      <c r="B53" s="8" t="s">
        <v>127</v>
      </c>
      <c r="C53" s="30" t="s">
        <v>5</v>
      </c>
      <c r="D53" s="17" t="str">
        <f>IF('TECHNOLOGY REGISTER'!D54="","",'TECHNOLOGY REGISTER'!D54)</f>
        <v/>
      </c>
      <c r="E53" s="38" t="s">
        <v>51</v>
      </c>
      <c r="F53" s="24" t="s">
        <v>100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</row>
    <row r="54" spans="2:52" ht="15" customHeight="1" x14ac:dyDescent="0.45">
      <c r="B54" s="33" t="s">
        <v>127</v>
      </c>
      <c r="C54" s="29" t="s">
        <v>5</v>
      </c>
      <c r="D54" s="19" t="str">
        <f>IF('TECHNOLOGY REGISTER'!D55="","",'TECHNOLOGY REGISTER'!D55)</f>
        <v/>
      </c>
      <c r="E54" s="32" t="s">
        <v>51</v>
      </c>
      <c r="F54" s="32" t="s">
        <v>100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spans="2:52" ht="15" customHeight="1" thickBot="1" x14ac:dyDescent="0.5">
      <c r="B55" s="8" t="s">
        <v>127</v>
      </c>
      <c r="C55" s="30" t="s">
        <v>5</v>
      </c>
      <c r="D55" s="17" t="str">
        <f>IF('TECHNOLOGY REGISTER'!D56="","",'TECHNOLOGY REGISTER'!D56)</f>
        <v/>
      </c>
      <c r="E55" s="38" t="s">
        <v>51</v>
      </c>
      <c r="F55" s="24" t="s">
        <v>100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2:52" customFormat="1" ht="20" customHeight="1" x14ac:dyDescent="0.5">
      <c r="B56" s="69" t="s">
        <v>139</v>
      </c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</row>
    <row r="57" spans="2:52" ht="17" customHeight="1" x14ac:dyDescent="0.45">
      <c r="B57" s="33" t="s">
        <v>140</v>
      </c>
      <c r="C57" s="29" t="s">
        <v>5</v>
      </c>
      <c r="D57" s="19" t="str">
        <f>IF('TECHNOLOGY REGISTER'!D7="","",'TECHNOLOGY REGISTER'!D7)</f>
        <v>Biomass</v>
      </c>
      <c r="E57" s="32"/>
      <c r="F57" s="32" t="s">
        <v>98</v>
      </c>
      <c r="G57" s="36">
        <v>0.3</v>
      </c>
      <c r="H57" s="36">
        <v>0.3</v>
      </c>
      <c r="I57" s="36">
        <v>0.3</v>
      </c>
      <c r="J57" s="36">
        <v>0.3</v>
      </c>
      <c r="K57" s="36">
        <v>0.3</v>
      </c>
      <c r="L57" s="36">
        <v>0.3</v>
      </c>
      <c r="M57" s="36">
        <v>0.3</v>
      </c>
      <c r="N57" s="36">
        <v>0.3</v>
      </c>
      <c r="O57" s="36">
        <v>0.3</v>
      </c>
      <c r="P57" s="36">
        <v>0.3</v>
      </c>
      <c r="Q57" s="36">
        <v>0.3</v>
      </c>
      <c r="R57" s="36">
        <v>0.3</v>
      </c>
      <c r="S57" s="36">
        <v>0.3</v>
      </c>
      <c r="T57" s="36">
        <v>0.3</v>
      </c>
      <c r="U57" s="36">
        <v>0.3</v>
      </c>
      <c r="V57" s="36">
        <v>0.3</v>
      </c>
      <c r="W57" s="36">
        <v>0.3</v>
      </c>
      <c r="X57" s="36">
        <v>0.3</v>
      </c>
      <c r="Y57" s="36">
        <v>0.3</v>
      </c>
      <c r="Z57" s="36">
        <v>0.3</v>
      </c>
      <c r="AA57" s="36">
        <v>0.3</v>
      </c>
      <c r="AB57" s="36">
        <v>0.3</v>
      </c>
      <c r="AC57" s="36">
        <v>0.3</v>
      </c>
      <c r="AD57" s="36">
        <v>0.3</v>
      </c>
      <c r="AE57" s="36">
        <v>0.3</v>
      </c>
      <c r="AF57" s="36">
        <v>0.3</v>
      </c>
      <c r="AG57" s="36">
        <v>0.3</v>
      </c>
      <c r="AH57" s="36">
        <v>0.3</v>
      </c>
      <c r="AI57" s="36">
        <v>0.3</v>
      </c>
      <c r="AJ57" s="36">
        <v>0.3</v>
      </c>
      <c r="AK57" s="36">
        <v>0.3</v>
      </c>
      <c r="AL57" s="36">
        <v>0.3</v>
      </c>
      <c r="AM57" s="36">
        <v>0.3</v>
      </c>
      <c r="AN57" s="36">
        <v>0.3</v>
      </c>
      <c r="AO57" s="36">
        <v>0.3</v>
      </c>
      <c r="AP57" s="36">
        <v>0.3</v>
      </c>
      <c r="AQ57" s="36">
        <v>0.3</v>
      </c>
      <c r="AR57" s="36">
        <v>0.3</v>
      </c>
      <c r="AS57" s="36">
        <v>0.3</v>
      </c>
      <c r="AT57" s="36">
        <v>0.3</v>
      </c>
      <c r="AU57" s="36">
        <v>0.3</v>
      </c>
      <c r="AV57" s="36">
        <v>0.3</v>
      </c>
      <c r="AW57" s="36">
        <v>0.3</v>
      </c>
      <c r="AX57" s="36">
        <v>0.3</v>
      </c>
      <c r="AY57" s="36">
        <v>0.3</v>
      </c>
      <c r="AZ57" s="36">
        <v>0.3</v>
      </c>
    </row>
    <row r="58" spans="2:52" ht="17" customHeight="1" x14ac:dyDescent="0.45">
      <c r="B58" s="8" t="s">
        <v>140</v>
      </c>
      <c r="C58" s="30" t="s">
        <v>5</v>
      </c>
      <c r="D58" s="17" t="str">
        <f>IF('TECHNOLOGY REGISTER'!D8="","",'TECHNOLOGY REGISTER'!D8)</f>
        <v>Geothermal</v>
      </c>
      <c r="E58" s="38"/>
      <c r="F58" s="24" t="s">
        <v>98</v>
      </c>
      <c r="G58" s="37">
        <v>0.3</v>
      </c>
      <c r="H58" s="37">
        <v>0.3</v>
      </c>
      <c r="I58" s="37">
        <v>0.3</v>
      </c>
      <c r="J58" s="37">
        <v>0.3</v>
      </c>
      <c r="K58" s="37">
        <v>0.3</v>
      </c>
      <c r="L58" s="37">
        <v>0.3</v>
      </c>
      <c r="M58" s="37">
        <v>0.3</v>
      </c>
      <c r="N58" s="37">
        <v>0.3</v>
      </c>
      <c r="O58" s="37">
        <v>0.3</v>
      </c>
      <c r="P58" s="37">
        <v>0.3</v>
      </c>
      <c r="Q58" s="37">
        <v>0.3</v>
      </c>
      <c r="R58" s="37">
        <v>0.3</v>
      </c>
      <c r="S58" s="37">
        <v>0.3</v>
      </c>
      <c r="T58" s="37">
        <v>0.3</v>
      </c>
      <c r="U58" s="37">
        <v>0.3</v>
      </c>
      <c r="V58" s="37">
        <v>0.3</v>
      </c>
      <c r="W58" s="37">
        <v>0.3</v>
      </c>
      <c r="X58" s="37">
        <v>0.3</v>
      </c>
      <c r="Y58" s="37">
        <v>0.3</v>
      </c>
      <c r="Z58" s="37">
        <v>0.3</v>
      </c>
      <c r="AA58" s="37">
        <v>0.3</v>
      </c>
      <c r="AB58" s="37">
        <v>0.3</v>
      </c>
      <c r="AC58" s="37">
        <v>0.3</v>
      </c>
      <c r="AD58" s="37">
        <v>0.3</v>
      </c>
      <c r="AE58" s="37">
        <v>0.3</v>
      </c>
      <c r="AF58" s="37">
        <v>0.3</v>
      </c>
      <c r="AG58" s="37">
        <v>0.3</v>
      </c>
      <c r="AH58" s="37">
        <v>0.3</v>
      </c>
      <c r="AI58" s="37">
        <v>0.3</v>
      </c>
      <c r="AJ58" s="37">
        <v>0.3</v>
      </c>
      <c r="AK58" s="37">
        <v>0.3</v>
      </c>
      <c r="AL58" s="37">
        <v>0.3</v>
      </c>
      <c r="AM58" s="37">
        <v>0.3</v>
      </c>
      <c r="AN58" s="37">
        <v>0.3</v>
      </c>
      <c r="AO58" s="37">
        <v>0.3</v>
      </c>
      <c r="AP58" s="37">
        <v>0.3</v>
      </c>
      <c r="AQ58" s="37">
        <v>0.3</v>
      </c>
      <c r="AR58" s="37">
        <v>0.3</v>
      </c>
      <c r="AS58" s="37">
        <v>0.3</v>
      </c>
      <c r="AT58" s="37">
        <v>0.3</v>
      </c>
      <c r="AU58" s="37">
        <v>0.3</v>
      </c>
      <c r="AV58" s="37">
        <v>0.3</v>
      </c>
      <c r="AW58" s="37">
        <v>0.3</v>
      </c>
      <c r="AX58" s="37">
        <v>0.3</v>
      </c>
      <c r="AY58" s="37">
        <v>0.3</v>
      </c>
      <c r="AZ58" s="37">
        <v>0.3</v>
      </c>
    </row>
    <row r="59" spans="2:52" ht="17" customHeight="1" x14ac:dyDescent="0.45">
      <c r="B59" s="33" t="s">
        <v>140</v>
      </c>
      <c r="C59" s="29" t="s">
        <v>5</v>
      </c>
      <c r="D59" s="19" t="str">
        <f>IF('TECHNOLOGY REGISTER'!D9="","",'TECHNOLOGY REGISTER'!D9)</f>
        <v>Solar PV</v>
      </c>
      <c r="E59" s="32"/>
      <c r="F59" s="32" t="s">
        <v>98</v>
      </c>
      <c r="G59" s="36">
        <v>0.3</v>
      </c>
      <c r="H59" s="36">
        <v>0.3</v>
      </c>
      <c r="I59" s="36">
        <v>0.3</v>
      </c>
      <c r="J59" s="36">
        <v>0.3</v>
      </c>
      <c r="K59" s="36">
        <v>0.3</v>
      </c>
      <c r="L59" s="36">
        <v>0.3</v>
      </c>
      <c r="M59" s="36">
        <v>0.3</v>
      </c>
      <c r="N59" s="36">
        <v>0.3</v>
      </c>
      <c r="O59" s="36">
        <v>0.3</v>
      </c>
      <c r="P59" s="36">
        <v>0.3</v>
      </c>
      <c r="Q59" s="36">
        <v>0.3</v>
      </c>
      <c r="R59" s="36">
        <v>0.3</v>
      </c>
      <c r="S59" s="36">
        <v>0.3</v>
      </c>
      <c r="T59" s="36">
        <v>0.3</v>
      </c>
      <c r="U59" s="36">
        <v>0.3</v>
      </c>
      <c r="V59" s="36">
        <v>0.3</v>
      </c>
      <c r="W59" s="36">
        <v>0.3</v>
      </c>
      <c r="X59" s="36">
        <v>0.3</v>
      </c>
      <c r="Y59" s="36">
        <v>0.3</v>
      </c>
      <c r="Z59" s="36">
        <v>0.3</v>
      </c>
      <c r="AA59" s="36">
        <v>0.3</v>
      </c>
      <c r="AB59" s="36">
        <v>0.3</v>
      </c>
      <c r="AC59" s="36">
        <v>0.3</v>
      </c>
      <c r="AD59" s="36">
        <v>0.3</v>
      </c>
      <c r="AE59" s="36">
        <v>0.3</v>
      </c>
      <c r="AF59" s="36">
        <v>0.3</v>
      </c>
      <c r="AG59" s="36">
        <v>0.3</v>
      </c>
      <c r="AH59" s="36">
        <v>0.3</v>
      </c>
      <c r="AI59" s="36">
        <v>0.3</v>
      </c>
      <c r="AJ59" s="36">
        <v>0.3</v>
      </c>
      <c r="AK59" s="36">
        <v>0.3</v>
      </c>
      <c r="AL59" s="36">
        <v>0.3</v>
      </c>
      <c r="AM59" s="36">
        <v>0.3</v>
      </c>
      <c r="AN59" s="36">
        <v>0.3</v>
      </c>
      <c r="AO59" s="36">
        <v>0.3</v>
      </c>
      <c r="AP59" s="36">
        <v>0.3</v>
      </c>
      <c r="AQ59" s="36">
        <v>0.3</v>
      </c>
      <c r="AR59" s="36">
        <v>0.3</v>
      </c>
      <c r="AS59" s="36">
        <v>0.3</v>
      </c>
      <c r="AT59" s="36">
        <v>0.3</v>
      </c>
      <c r="AU59" s="36">
        <v>0.3</v>
      </c>
      <c r="AV59" s="36">
        <v>0.3</v>
      </c>
      <c r="AW59" s="36">
        <v>0.3</v>
      </c>
      <c r="AX59" s="36">
        <v>0.3</v>
      </c>
      <c r="AY59" s="36">
        <v>0.3</v>
      </c>
      <c r="AZ59" s="36">
        <v>0.3</v>
      </c>
    </row>
    <row r="60" spans="2:52" ht="17" customHeight="1" x14ac:dyDescent="0.45">
      <c r="B60" s="8" t="s">
        <v>140</v>
      </c>
      <c r="C60" s="30" t="s">
        <v>5</v>
      </c>
      <c r="D60" s="17" t="str">
        <f>IF('TECHNOLOGY REGISTER'!D10="","",'TECHNOLOGY REGISTER'!D10)</f>
        <v>CSP</v>
      </c>
      <c r="E60" s="38"/>
      <c r="F60" s="24" t="s">
        <v>98</v>
      </c>
      <c r="G60" s="37">
        <v>0.3</v>
      </c>
      <c r="H60" s="37">
        <v>0.3</v>
      </c>
      <c r="I60" s="37">
        <v>0.3</v>
      </c>
      <c r="J60" s="37">
        <v>0.3</v>
      </c>
      <c r="K60" s="37">
        <v>0.3</v>
      </c>
      <c r="L60" s="37">
        <v>0.3</v>
      </c>
      <c r="M60" s="37">
        <v>0.3</v>
      </c>
      <c r="N60" s="37">
        <v>0.3</v>
      </c>
      <c r="O60" s="37">
        <v>0.3</v>
      </c>
      <c r="P60" s="37">
        <v>0.3</v>
      </c>
      <c r="Q60" s="37">
        <v>0.3</v>
      </c>
      <c r="R60" s="37">
        <v>0.3</v>
      </c>
      <c r="S60" s="37">
        <v>0.3</v>
      </c>
      <c r="T60" s="37">
        <v>0.3</v>
      </c>
      <c r="U60" s="37">
        <v>0.3</v>
      </c>
      <c r="V60" s="37">
        <v>0.3</v>
      </c>
      <c r="W60" s="37">
        <v>0.3</v>
      </c>
      <c r="X60" s="37">
        <v>0.3</v>
      </c>
      <c r="Y60" s="37">
        <v>0.3</v>
      </c>
      <c r="Z60" s="37">
        <v>0.3</v>
      </c>
      <c r="AA60" s="37">
        <v>0.3</v>
      </c>
      <c r="AB60" s="37">
        <v>0.3</v>
      </c>
      <c r="AC60" s="37">
        <v>0.3</v>
      </c>
      <c r="AD60" s="37">
        <v>0.3</v>
      </c>
      <c r="AE60" s="37">
        <v>0.3</v>
      </c>
      <c r="AF60" s="37">
        <v>0.3</v>
      </c>
      <c r="AG60" s="37">
        <v>0.3</v>
      </c>
      <c r="AH60" s="37">
        <v>0.3</v>
      </c>
      <c r="AI60" s="37">
        <v>0.3</v>
      </c>
      <c r="AJ60" s="37">
        <v>0.3</v>
      </c>
      <c r="AK60" s="37">
        <v>0.3</v>
      </c>
      <c r="AL60" s="37">
        <v>0.3</v>
      </c>
      <c r="AM60" s="37">
        <v>0.3</v>
      </c>
      <c r="AN60" s="37">
        <v>0.3</v>
      </c>
      <c r="AO60" s="37">
        <v>0.3</v>
      </c>
      <c r="AP60" s="37">
        <v>0.3</v>
      </c>
      <c r="AQ60" s="37">
        <v>0.3</v>
      </c>
      <c r="AR60" s="37">
        <v>0.3</v>
      </c>
      <c r="AS60" s="37">
        <v>0.3</v>
      </c>
      <c r="AT60" s="37">
        <v>0.3</v>
      </c>
      <c r="AU60" s="37">
        <v>0.3</v>
      </c>
      <c r="AV60" s="37">
        <v>0.3</v>
      </c>
      <c r="AW60" s="37">
        <v>0.3</v>
      </c>
      <c r="AX60" s="37">
        <v>0.3</v>
      </c>
      <c r="AY60" s="37">
        <v>0.3</v>
      </c>
      <c r="AZ60" s="37">
        <v>0.3</v>
      </c>
    </row>
    <row r="61" spans="2:52" ht="17" customHeight="1" x14ac:dyDescent="0.45">
      <c r="B61" s="33" t="s">
        <v>140</v>
      </c>
      <c r="C61" s="29" t="s">
        <v>5</v>
      </c>
      <c r="D61" s="19" t="str">
        <f>IF('TECHNOLOGY REGISTER'!D11="","",'TECHNOLOGY REGISTER'!D11)</f>
        <v>Hydropower</v>
      </c>
      <c r="E61" s="32"/>
      <c r="F61" s="32" t="s">
        <v>98</v>
      </c>
      <c r="G61" s="36">
        <v>0.3</v>
      </c>
      <c r="H61" s="36">
        <v>0.3</v>
      </c>
      <c r="I61" s="36">
        <v>0.3</v>
      </c>
      <c r="J61" s="36">
        <v>0.3</v>
      </c>
      <c r="K61" s="36">
        <v>0.3</v>
      </c>
      <c r="L61" s="36">
        <v>0.3</v>
      </c>
      <c r="M61" s="36">
        <v>0.3</v>
      </c>
      <c r="N61" s="36">
        <v>0.3</v>
      </c>
      <c r="O61" s="36">
        <v>0.3</v>
      </c>
      <c r="P61" s="36">
        <v>0.3</v>
      </c>
      <c r="Q61" s="36">
        <v>0.3</v>
      </c>
      <c r="R61" s="36">
        <v>0.3</v>
      </c>
      <c r="S61" s="36">
        <v>0.3</v>
      </c>
      <c r="T61" s="36">
        <v>0.3</v>
      </c>
      <c r="U61" s="36">
        <v>0.3</v>
      </c>
      <c r="V61" s="36">
        <v>0.3</v>
      </c>
      <c r="W61" s="36">
        <v>0.3</v>
      </c>
      <c r="X61" s="36">
        <v>0.3</v>
      </c>
      <c r="Y61" s="36">
        <v>0.3</v>
      </c>
      <c r="Z61" s="36">
        <v>0.3</v>
      </c>
      <c r="AA61" s="36">
        <v>0.3</v>
      </c>
      <c r="AB61" s="36">
        <v>0.3</v>
      </c>
      <c r="AC61" s="36">
        <v>0.3</v>
      </c>
      <c r="AD61" s="36">
        <v>0.3</v>
      </c>
      <c r="AE61" s="36">
        <v>0.3</v>
      </c>
      <c r="AF61" s="36">
        <v>0.3</v>
      </c>
      <c r="AG61" s="36">
        <v>0.3</v>
      </c>
      <c r="AH61" s="36">
        <v>0.3</v>
      </c>
      <c r="AI61" s="36">
        <v>0.3</v>
      </c>
      <c r="AJ61" s="36">
        <v>0.3</v>
      </c>
      <c r="AK61" s="36">
        <v>0.3</v>
      </c>
      <c r="AL61" s="36">
        <v>0.3</v>
      </c>
      <c r="AM61" s="36">
        <v>0.3</v>
      </c>
      <c r="AN61" s="36">
        <v>0.3</v>
      </c>
      <c r="AO61" s="36">
        <v>0.3</v>
      </c>
      <c r="AP61" s="36">
        <v>0.3</v>
      </c>
      <c r="AQ61" s="36">
        <v>0.3</v>
      </c>
      <c r="AR61" s="36">
        <v>0.3</v>
      </c>
      <c r="AS61" s="36">
        <v>0.3</v>
      </c>
      <c r="AT61" s="36">
        <v>0.3</v>
      </c>
      <c r="AU61" s="36">
        <v>0.3</v>
      </c>
      <c r="AV61" s="36">
        <v>0.3</v>
      </c>
      <c r="AW61" s="36">
        <v>0.3</v>
      </c>
      <c r="AX61" s="36">
        <v>0.3</v>
      </c>
      <c r="AY61" s="36">
        <v>0.3</v>
      </c>
      <c r="AZ61" s="36">
        <v>0.3</v>
      </c>
    </row>
    <row r="62" spans="2:52" ht="17" customHeight="1" x14ac:dyDescent="0.45">
      <c r="B62" s="8" t="s">
        <v>140</v>
      </c>
      <c r="C62" s="30" t="s">
        <v>5</v>
      </c>
      <c r="D62" s="17" t="str">
        <f>IF('TECHNOLOGY REGISTER'!D12="","",'TECHNOLOGY REGISTER'!D12)</f>
        <v>Nuclear</v>
      </c>
      <c r="E62" s="38"/>
      <c r="F62" s="24" t="s">
        <v>98</v>
      </c>
      <c r="G62" s="37">
        <v>0.3</v>
      </c>
      <c r="H62" s="37">
        <v>0.3</v>
      </c>
      <c r="I62" s="37">
        <v>0.3</v>
      </c>
      <c r="J62" s="37">
        <v>0.3</v>
      </c>
      <c r="K62" s="37">
        <v>0.3</v>
      </c>
      <c r="L62" s="37">
        <v>0.3</v>
      </c>
      <c r="M62" s="37">
        <v>0.3</v>
      </c>
      <c r="N62" s="37">
        <v>0.3</v>
      </c>
      <c r="O62" s="37">
        <v>0.3</v>
      </c>
      <c r="P62" s="37">
        <v>0.3</v>
      </c>
      <c r="Q62" s="37">
        <v>0.3</v>
      </c>
      <c r="R62" s="37">
        <v>0.3</v>
      </c>
      <c r="S62" s="37">
        <v>0.3</v>
      </c>
      <c r="T62" s="37">
        <v>0.3</v>
      </c>
      <c r="U62" s="37">
        <v>0.3</v>
      </c>
      <c r="V62" s="37">
        <v>0.3</v>
      </c>
      <c r="W62" s="37">
        <v>0.3</v>
      </c>
      <c r="X62" s="37">
        <v>0.3</v>
      </c>
      <c r="Y62" s="37">
        <v>0.3</v>
      </c>
      <c r="Z62" s="37">
        <v>0.3</v>
      </c>
      <c r="AA62" s="37">
        <v>0.3</v>
      </c>
      <c r="AB62" s="37">
        <v>0.3</v>
      </c>
      <c r="AC62" s="37">
        <v>0.3</v>
      </c>
      <c r="AD62" s="37">
        <v>0.3</v>
      </c>
      <c r="AE62" s="37">
        <v>0.3</v>
      </c>
      <c r="AF62" s="37">
        <v>0.3</v>
      </c>
      <c r="AG62" s="37">
        <v>0.3</v>
      </c>
      <c r="AH62" s="37">
        <v>0.3</v>
      </c>
      <c r="AI62" s="37">
        <v>0.3</v>
      </c>
      <c r="AJ62" s="37">
        <v>0.3</v>
      </c>
      <c r="AK62" s="37">
        <v>0.3</v>
      </c>
      <c r="AL62" s="37">
        <v>0.3</v>
      </c>
      <c r="AM62" s="37">
        <v>0.3</v>
      </c>
      <c r="AN62" s="37">
        <v>0.3</v>
      </c>
      <c r="AO62" s="37">
        <v>0.3</v>
      </c>
      <c r="AP62" s="37">
        <v>0.3</v>
      </c>
      <c r="AQ62" s="37">
        <v>0.3</v>
      </c>
      <c r="AR62" s="37">
        <v>0.3</v>
      </c>
      <c r="AS62" s="37">
        <v>0.3</v>
      </c>
      <c r="AT62" s="37">
        <v>0.3</v>
      </c>
      <c r="AU62" s="37">
        <v>0.3</v>
      </c>
      <c r="AV62" s="37">
        <v>0.3</v>
      </c>
      <c r="AW62" s="37">
        <v>0.3</v>
      </c>
      <c r="AX62" s="37">
        <v>0.3</v>
      </c>
      <c r="AY62" s="37">
        <v>0.3</v>
      </c>
      <c r="AZ62" s="37">
        <v>0.3</v>
      </c>
    </row>
    <row r="63" spans="2:52" ht="17" customHeight="1" x14ac:dyDescent="0.45">
      <c r="B63" s="33" t="s">
        <v>140</v>
      </c>
      <c r="C63" s="29" t="s">
        <v>5</v>
      </c>
      <c r="D63" s="19" t="str">
        <f>IF('TECHNOLOGY REGISTER'!D13="","",'TECHNOLOGY REGISTER'!D13)</f>
        <v>Wind</v>
      </c>
      <c r="E63" s="32"/>
      <c r="F63" s="32" t="s">
        <v>98</v>
      </c>
      <c r="G63" s="36">
        <v>0.3</v>
      </c>
      <c r="H63" s="36">
        <v>0.3</v>
      </c>
      <c r="I63" s="36">
        <v>0.3</v>
      </c>
      <c r="J63" s="36">
        <v>0.3</v>
      </c>
      <c r="K63" s="36">
        <v>0.3</v>
      </c>
      <c r="L63" s="36">
        <v>0.3</v>
      </c>
      <c r="M63" s="36">
        <v>0.3</v>
      </c>
      <c r="N63" s="36">
        <v>0.3</v>
      </c>
      <c r="O63" s="36">
        <v>0.3</v>
      </c>
      <c r="P63" s="36">
        <v>0.3</v>
      </c>
      <c r="Q63" s="36">
        <v>0.3</v>
      </c>
      <c r="R63" s="36">
        <v>0.3</v>
      </c>
      <c r="S63" s="36">
        <v>0.3</v>
      </c>
      <c r="T63" s="36">
        <v>0.3</v>
      </c>
      <c r="U63" s="36">
        <v>0.3</v>
      </c>
      <c r="V63" s="36">
        <v>0.3</v>
      </c>
      <c r="W63" s="36">
        <v>0.3</v>
      </c>
      <c r="X63" s="36">
        <v>0.3</v>
      </c>
      <c r="Y63" s="36">
        <v>0.3</v>
      </c>
      <c r="Z63" s="36">
        <v>0.3</v>
      </c>
      <c r="AA63" s="36">
        <v>0.3</v>
      </c>
      <c r="AB63" s="36">
        <v>0.3</v>
      </c>
      <c r="AC63" s="36">
        <v>0.3</v>
      </c>
      <c r="AD63" s="36">
        <v>0.3</v>
      </c>
      <c r="AE63" s="36">
        <v>0.3</v>
      </c>
      <c r="AF63" s="36">
        <v>0.3</v>
      </c>
      <c r="AG63" s="36">
        <v>0.3</v>
      </c>
      <c r="AH63" s="36">
        <v>0.3</v>
      </c>
      <c r="AI63" s="36">
        <v>0.3</v>
      </c>
      <c r="AJ63" s="36">
        <v>0.3</v>
      </c>
      <c r="AK63" s="36">
        <v>0.3</v>
      </c>
      <c r="AL63" s="36">
        <v>0.3</v>
      </c>
      <c r="AM63" s="36">
        <v>0.3</v>
      </c>
      <c r="AN63" s="36">
        <v>0.3</v>
      </c>
      <c r="AO63" s="36">
        <v>0.3</v>
      </c>
      <c r="AP63" s="36">
        <v>0.3</v>
      </c>
      <c r="AQ63" s="36">
        <v>0.3</v>
      </c>
      <c r="AR63" s="36">
        <v>0.3</v>
      </c>
      <c r="AS63" s="36">
        <v>0.3</v>
      </c>
      <c r="AT63" s="36">
        <v>0.3</v>
      </c>
      <c r="AU63" s="36">
        <v>0.3</v>
      </c>
      <c r="AV63" s="36">
        <v>0.3</v>
      </c>
      <c r="AW63" s="36">
        <v>0.3</v>
      </c>
      <c r="AX63" s="36">
        <v>0.3</v>
      </c>
      <c r="AY63" s="36">
        <v>0.3</v>
      </c>
      <c r="AZ63" s="36">
        <v>0.3</v>
      </c>
    </row>
    <row r="64" spans="2:52" ht="17" customHeight="1" x14ac:dyDescent="0.45">
      <c r="B64" s="8" t="s">
        <v>140</v>
      </c>
      <c r="C64" s="30" t="s">
        <v>5</v>
      </c>
      <c r="D64" s="17" t="str">
        <f>IF('TECHNOLOGY REGISTER'!D14="","",'TECHNOLOGY REGISTER'!D14)</f>
        <v>Coal</v>
      </c>
      <c r="E64" s="38"/>
      <c r="F64" s="24" t="s">
        <v>98</v>
      </c>
      <c r="G64" s="37">
        <v>0.3</v>
      </c>
      <c r="H64" s="37">
        <v>0.3</v>
      </c>
      <c r="I64" s="37">
        <v>0.3</v>
      </c>
      <c r="J64" s="37">
        <v>0.3</v>
      </c>
      <c r="K64" s="37">
        <v>0.3</v>
      </c>
      <c r="L64" s="37">
        <v>0.3</v>
      </c>
      <c r="M64" s="37">
        <v>0.3</v>
      </c>
      <c r="N64" s="37">
        <v>0.3</v>
      </c>
      <c r="O64" s="37">
        <v>0.3</v>
      </c>
      <c r="P64" s="37">
        <v>0.3</v>
      </c>
      <c r="Q64" s="37">
        <v>0.3</v>
      </c>
      <c r="R64" s="37">
        <v>0.3</v>
      </c>
      <c r="S64" s="37">
        <v>0.3</v>
      </c>
      <c r="T64" s="37">
        <v>0.3</v>
      </c>
      <c r="U64" s="37">
        <v>0.3</v>
      </c>
      <c r="V64" s="37">
        <v>0.3</v>
      </c>
      <c r="W64" s="37">
        <v>0.3</v>
      </c>
      <c r="X64" s="37">
        <v>0.3</v>
      </c>
      <c r="Y64" s="37">
        <v>0.3</v>
      </c>
      <c r="Z64" s="37">
        <v>0.3</v>
      </c>
      <c r="AA64" s="37">
        <v>0.3</v>
      </c>
      <c r="AB64" s="37">
        <v>0.3</v>
      </c>
      <c r="AC64" s="37">
        <v>0.3</v>
      </c>
      <c r="AD64" s="37">
        <v>0.3</v>
      </c>
      <c r="AE64" s="37">
        <v>0.3</v>
      </c>
      <c r="AF64" s="37">
        <v>0.3</v>
      </c>
      <c r="AG64" s="37">
        <v>0.3</v>
      </c>
      <c r="AH64" s="37">
        <v>0.3</v>
      </c>
      <c r="AI64" s="37">
        <v>0.3</v>
      </c>
      <c r="AJ64" s="37">
        <v>0.3</v>
      </c>
      <c r="AK64" s="37">
        <v>0.3</v>
      </c>
      <c r="AL64" s="37">
        <v>0.3</v>
      </c>
      <c r="AM64" s="37">
        <v>0.3</v>
      </c>
      <c r="AN64" s="37">
        <v>0.3</v>
      </c>
      <c r="AO64" s="37">
        <v>0.3</v>
      </c>
      <c r="AP64" s="37">
        <v>0.3</v>
      </c>
      <c r="AQ64" s="37">
        <v>0.3</v>
      </c>
      <c r="AR64" s="37">
        <v>0.3</v>
      </c>
      <c r="AS64" s="37">
        <v>0.3</v>
      </c>
      <c r="AT64" s="37">
        <v>0.3</v>
      </c>
      <c r="AU64" s="37">
        <v>0.3</v>
      </c>
      <c r="AV64" s="37">
        <v>0.3</v>
      </c>
      <c r="AW64" s="37">
        <v>0.3</v>
      </c>
      <c r="AX64" s="37">
        <v>0.3</v>
      </c>
      <c r="AY64" s="37">
        <v>0.3</v>
      </c>
      <c r="AZ64" s="37">
        <v>0.3</v>
      </c>
    </row>
    <row r="65" spans="2:52" ht="17" customHeight="1" x14ac:dyDescent="0.45">
      <c r="B65" s="33" t="s">
        <v>140</v>
      </c>
      <c r="C65" s="29" t="s">
        <v>5</v>
      </c>
      <c r="D65" s="19" t="str">
        <f>IF('TECHNOLOGY REGISTER'!D15="","",'TECHNOLOGY REGISTER'!D15)</f>
        <v>Oil</v>
      </c>
      <c r="E65" s="32"/>
      <c r="F65" s="32" t="s">
        <v>98</v>
      </c>
      <c r="G65" s="36">
        <v>0.3</v>
      </c>
      <c r="H65" s="36">
        <v>0.3</v>
      </c>
      <c r="I65" s="36">
        <v>0.3</v>
      </c>
      <c r="J65" s="36">
        <v>0.3</v>
      </c>
      <c r="K65" s="36">
        <v>0.3</v>
      </c>
      <c r="L65" s="36">
        <v>0.3</v>
      </c>
      <c r="M65" s="36">
        <v>0.3</v>
      </c>
      <c r="N65" s="36">
        <v>0.3</v>
      </c>
      <c r="O65" s="36">
        <v>0.3</v>
      </c>
      <c r="P65" s="36">
        <v>0.3</v>
      </c>
      <c r="Q65" s="36">
        <v>0.3</v>
      </c>
      <c r="R65" s="36">
        <v>0.3</v>
      </c>
      <c r="S65" s="36">
        <v>0.3</v>
      </c>
      <c r="T65" s="36">
        <v>0.3</v>
      </c>
      <c r="U65" s="36">
        <v>0.3</v>
      </c>
      <c r="V65" s="36">
        <v>0.3</v>
      </c>
      <c r="W65" s="36">
        <v>0.3</v>
      </c>
      <c r="X65" s="36">
        <v>0.3</v>
      </c>
      <c r="Y65" s="36">
        <v>0.3</v>
      </c>
      <c r="Z65" s="36">
        <v>0.3</v>
      </c>
      <c r="AA65" s="36">
        <v>0.3</v>
      </c>
      <c r="AB65" s="36">
        <v>0.3</v>
      </c>
      <c r="AC65" s="36">
        <v>0.3</v>
      </c>
      <c r="AD65" s="36">
        <v>0.3</v>
      </c>
      <c r="AE65" s="36">
        <v>0.3</v>
      </c>
      <c r="AF65" s="36">
        <v>0.3</v>
      </c>
      <c r="AG65" s="36">
        <v>0.3</v>
      </c>
      <c r="AH65" s="36">
        <v>0.3</v>
      </c>
      <c r="AI65" s="36">
        <v>0.3</v>
      </c>
      <c r="AJ65" s="36">
        <v>0.3</v>
      </c>
      <c r="AK65" s="36">
        <v>0.3</v>
      </c>
      <c r="AL65" s="36">
        <v>0.3</v>
      </c>
      <c r="AM65" s="36">
        <v>0.3</v>
      </c>
      <c r="AN65" s="36">
        <v>0.3</v>
      </c>
      <c r="AO65" s="36">
        <v>0.3</v>
      </c>
      <c r="AP65" s="36">
        <v>0.3</v>
      </c>
      <c r="AQ65" s="36">
        <v>0.3</v>
      </c>
      <c r="AR65" s="36">
        <v>0.3</v>
      </c>
      <c r="AS65" s="36">
        <v>0.3</v>
      </c>
      <c r="AT65" s="36">
        <v>0.3</v>
      </c>
      <c r="AU65" s="36">
        <v>0.3</v>
      </c>
      <c r="AV65" s="36">
        <v>0.3</v>
      </c>
      <c r="AW65" s="36">
        <v>0.3</v>
      </c>
      <c r="AX65" s="36">
        <v>0.3</v>
      </c>
      <c r="AY65" s="36">
        <v>0.3</v>
      </c>
      <c r="AZ65" s="36">
        <v>0.3</v>
      </c>
    </row>
    <row r="66" spans="2:52" ht="17" customHeight="1" x14ac:dyDescent="0.45">
      <c r="B66" s="8" t="s">
        <v>140</v>
      </c>
      <c r="C66" s="30" t="s">
        <v>5</v>
      </c>
      <c r="D66" s="17" t="str">
        <f>IF('TECHNOLOGY REGISTER'!D16="","",'TECHNOLOGY REGISTER'!D16)</f>
        <v>Gas</v>
      </c>
      <c r="E66" s="38"/>
      <c r="F66" s="24" t="s">
        <v>98</v>
      </c>
      <c r="G66" s="37">
        <v>0.3</v>
      </c>
      <c r="H66" s="37">
        <v>0.3</v>
      </c>
      <c r="I66" s="37">
        <v>0.3</v>
      </c>
      <c r="J66" s="37">
        <v>0.3</v>
      </c>
      <c r="K66" s="37">
        <v>0.3</v>
      </c>
      <c r="L66" s="37">
        <v>0.3</v>
      </c>
      <c r="M66" s="37">
        <v>0.3</v>
      </c>
      <c r="N66" s="37">
        <v>0.3</v>
      </c>
      <c r="O66" s="37">
        <v>0.3</v>
      </c>
      <c r="P66" s="37">
        <v>0.3</v>
      </c>
      <c r="Q66" s="37">
        <v>0.3</v>
      </c>
      <c r="R66" s="37">
        <v>0.3</v>
      </c>
      <c r="S66" s="37">
        <v>0.3</v>
      </c>
      <c r="T66" s="37">
        <v>0.3</v>
      </c>
      <c r="U66" s="37">
        <v>0.3</v>
      </c>
      <c r="V66" s="37">
        <v>0.3</v>
      </c>
      <c r="W66" s="37">
        <v>0.3</v>
      </c>
      <c r="X66" s="37">
        <v>0.3</v>
      </c>
      <c r="Y66" s="37">
        <v>0.3</v>
      </c>
      <c r="Z66" s="37">
        <v>0.3</v>
      </c>
      <c r="AA66" s="37">
        <v>0.3</v>
      </c>
      <c r="AB66" s="37">
        <v>0.3</v>
      </c>
      <c r="AC66" s="37">
        <v>0.3</v>
      </c>
      <c r="AD66" s="37">
        <v>0.3</v>
      </c>
      <c r="AE66" s="37">
        <v>0.3</v>
      </c>
      <c r="AF66" s="37">
        <v>0.3</v>
      </c>
      <c r="AG66" s="37">
        <v>0.3</v>
      </c>
      <c r="AH66" s="37">
        <v>0.3</v>
      </c>
      <c r="AI66" s="37">
        <v>0.3</v>
      </c>
      <c r="AJ66" s="37">
        <v>0.3</v>
      </c>
      <c r="AK66" s="37">
        <v>0.3</v>
      </c>
      <c r="AL66" s="37">
        <v>0.3</v>
      </c>
      <c r="AM66" s="37">
        <v>0.3</v>
      </c>
      <c r="AN66" s="37">
        <v>0.3</v>
      </c>
      <c r="AO66" s="37">
        <v>0.3</v>
      </c>
      <c r="AP66" s="37">
        <v>0.3</v>
      </c>
      <c r="AQ66" s="37">
        <v>0.3</v>
      </c>
      <c r="AR66" s="37">
        <v>0.3</v>
      </c>
      <c r="AS66" s="37">
        <v>0.3</v>
      </c>
      <c r="AT66" s="37">
        <v>0.3</v>
      </c>
      <c r="AU66" s="37">
        <v>0.3</v>
      </c>
      <c r="AV66" s="37">
        <v>0.3</v>
      </c>
      <c r="AW66" s="37">
        <v>0.3</v>
      </c>
      <c r="AX66" s="37">
        <v>0.3</v>
      </c>
      <c r="AY66" s="37">
        <v>0.3</v>
      </c>
      <c r="AZ66" s="37">
        <v>0.3</v>
      </c>
    </row>
    <row r="67" spans="2:52" ht="17" customHeight="1" x14ac:dyDescent="0.45">
      <c r="B67" s="33" t="s">
        <v>140</v>
      </c>
      <c r="C67" s="29" t="s">
        <v>5</v>
      </c>
      <c r="D67" s="19" t="str">
        <f>IF('TECHNOLOGY REGISTER'!D17="","",'TECHNOLOGY REGISTER'!D17)</f>
        <v>Transmission</v>
      </c>
      <c r="E67" s="32"/>
      <c r="F67" s="32" t="s">
        <v>98</v>
      </c>
      <c r="G67" s="36">
        <v>0.3</v>
      </c>
      <c r="H67" s="36">
        <v>0.3</v>
      </c>
      <c r="I67" s="36">
        <v>0.3</v>
      </c>
      <c r="J67" s="36">
        <v>0.3</v>
      </c>
      <c r="K67" s="36">
        <v>0.3</v>
      </c>
      <c r="L67" s="36">
        <v>0.3</v>
      </c>
      <c r="M67" s="36">
        <v>0.3</v>
      </c>
      <c r="N67" s="36">
        <v>0.3</v>
      </c>
      <c r="O67" s="36">
        <v>0.3</v>
      </c>
      <c r="P67" s="36">
        <v>0.3</v>
      </c>
      <c r="Q67" s="36">
        <v>0.3</v>
      </c>
      <c r="R67" s="36">
        <v>0.3</v>
      </c>
      <c r="S67" s="36">
        <v>0.3</v>
      </c>
      <c r="T67" s="36">
        <v>0.3</v>
      </c>
      <c r="U67" s="36">
        <v>0.3</v>
      </c>
      <c r="V67" s="36">
        <v>0.3</v>
      </c>
      <c r="W67" s="36">
        <v>0.3</v>
      </c>
      <c r="X67" s="36">
        <v>0.3</v>
      </c>
      <c r="Y67" s="36">
        <v>0.3</v>
      </c>
      <c r="Z67" s="36">
        <v>0.3</v>
      </c>
      <c r="AA67" s="36">
        <v>0.3</v>
      </c>
      <c r="AB67" s="36">
        <v>0.3</v>
      </c>
      <c r="AC67" s="36">
        <v>0.3</v>
      </c>
      <c r="AD67" s="36">
        <v>0.3</v>
      </c>
      <c r="AE67" s="36">
        <v>0.3</v>
      </c>
      <c r="AF67" s="36">
        <v>0.3</v>
      </c>
      <c r="AG67" s="36">
        <v>0.3</v>
      </c>
      <c r="AH67" s="36">
        <v>0.3</v>
      </c>
      <c r="AI67" s="36">
        <v>0.3</v>
      </c>
      <c r="AJ67" s="36">
        <v>0.3</v>
      </c>
      <c r="AK67" s="36">
        <v>0.3</v>
      </c>
      <c r="AL67" s="36">
        <v>0.3</v>
      </c>
      <c r="AM67" s="36">
        <v>0.3</v>
      </c>
      <c r="AN67" s="36">
        <v>0.3</v>
      </c>
      <c r="AO67" s="36">
        <v>0.3</v>
      </c>
      <c r="AP67" s="36">
        <v>0.3</v>
      </c>
      <c r="AQ67" s="36">
        <v>0.3</v>
      </c>
      <c r="AR67" s="36">
        <v>0.3</v>
      </c>
      <c r="AS67" s="36">
        <v>0.3</v>
      </c>
      <c r="AT67" s="36">
        <v>0.3</v>
      </c>
      <c r="AU67" s="36">
        <v>0.3</v>
      </c>
      <c r="AV67" s="36">
        <v>0.3</v>
      </c>
      <c r="AW67" s="36">
        <v>0.3</v>
      </c>
      <c r="AX67" s="36">
        <v>0.3</v>
      </c>
      <c r="AY67" s="36">
        <v>0.3</v>
      </c>
      <c r="AZ67" s="36">
        <v>0.3</v>
      </c>
    </row>
    <row r="68" spans="2:52" ht="17" customHeight="1" x14ac:dyDescent="0.45">
      <c r="B68" s="8" t="s">
        <v>140</v>
      </c>
      <c r="C68" s="30" t="s">
        <v>5</v>
      </c>
      <c r="D68" s="17" t="str">
        <f>IF('TECHNOLOGY REGISTER'!D18="","",'TECHNOLOGY REGISTER'!D18)</f>
        <v>Distribution</v>
      </c>
      <c r="E68" s="38"/>
      <c r="F68" s="24" t="s">
        <v>98</v>
      </c>
      <c r="G68" s="37">
        <v>0.3</v>
      </c>
      <c r="H68" s="37">
        <v>0.3</v>
      </c>
      <c r="I68" s="37">
        <v>0.3</v>
      </c>
      <c r="J68" s="37">
        <v>0.3</v>
      </c>
      <c r="K68" s="37">
        <v>0.3</v>
      </c>
      <c r="L68" s="37">
        <v>0.3</v>
      </c>
      <c r="M68" s="37">
        <v>0.3</v>
      </c>
      <c r="N68" s="37">
        <v>0.3</v>
      </c>
      <c r="O68" s="37">
        <v>0.3</v>
      </c>
      <c r="P68" s="37">
        <v>0.3</v>
      </c>
      <c r="Q68" s="37">
        <v>0.3</v>
      </c>
      <c r="R68" s="37">
        <v>0.3</v>
      </c>
      <c r="S68" s="37">
        <v>0.3</v>
      </c>
      <c r="T68" s="37">
        <v>0.3</v>
      </c>
      <c r="U68" s="37">
        <v>0.3</v>
      </c>
      <c r="V68" s="37">
        <v>0.3</v>
      </c>
      <c r="W68" s="37">
        <v>0.3</v>
      </c>
      <c r="X68" s="37">
        <v>0.3</v>
      </c>
      <c r="Y68" s="37">
        <v>0.3</v>
      </c>
      <c r="Z68" s="37">
        <v>0.3</v>
      </c>
      <c r="AA68" s="37">
        <v>0.3</v>
      </c>
      <c r="AB68" s="37">
        <v>0.3</v>
      </c>
      <c r="AC68" s="37">
        <v>0.3</v>
      </c>
      <c r="AD68" s="37">
        <v>0.3</v>
      </c>
      <c r="AE68" s="37">
        <v>0.3</v>
      </c>
      <c r="AF68" s="37">
        <v>0.3</v>
      </c>
      <c r="AG68" s="37">
        <v>0.3</v>
      </c>
      <c r="AH68" s="37">
        <v>0.3</v>
      </c>
      <c r="AI68" s="37">
        <v>0.3</v>
      </c>
      <c r="AJ68" s="37">
        <v>0.3</v>
      </c>
      <c r="AK68" s="37">
        <v>0.3</v>
      </c>
      <c r="AL68" s="37">
        <v>0.3</v>
      </c>
      <c r="AM68" s="37">
        <v>0.3</v>
      </c>
      <c r="AN68" s="37">
        <v>0.3</v>
      </c>
      <c r="AO68" s="37">
        <v>0.3</v>
      </c>
      <c r="AP68" s="37">
        <v>0.3</v>
      </c>
      <c r="AQ68" s="37">
        <v>0.3</v>
      </c>
      <c r="AR68" s="37">
        <v>0.3</v>
      </c>
      <c r="AS68" s="37">
        <v>0.3</v>
      </c>
      <c r="AT68" s="37">
        <v>0.3</v>
      </c>
      <c r="AU68" s="37">
        <v>0.3</v>
      </c>
      <c r="AV68" s="37">
        <v>0.3</v>
      </c>
      <c r="AW68" s="37">
        <v>0.3</v>
      </c>
      <c r="AX68" s="37">
        <v>0.3</v>
      </c>
      <c r="AY68" s="37">
        <v>0.3</v>
      </c>
      <c r="AZ68" s="37">
        <v>0.3</v>
      </c>
    </row>
    <row r="69" spans="2:52" ht="17" customHeight="1" x14ac:dyDescent="0.45">
      <c r="B69" s="33" t="s">
        <v>140</v>
      </c>
      <c r="C69" s="29" t="s">
        <v>5</v>
      </c>
      <c r="D69" s="19" t="str">
        <f>IF('TECHNOLOGY REGISTER'!D19="","",'TECHNOLOGY REGISTER'!D19)</f>
        <v>Imports</v>
      </c>
      <c r="E69" s="32"/>
      <c r="F69" s="32" t="s">
        <v>98</v>
      </c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</row>
    <row r="70" spans="2:52" ht="17" customHeight="1" x14ac:dyDescent="0.45">
      <c r="B70" s="8" t="s">
        <v>140</v>
      </c>
      <c r="C70" s="30" t="s">
        <v>5</v>
      </c>
      <c r="D70" s="17" t="str">
        <f>IF('TECHNOLOGY REGISTER'!D20="","",'TECHNOLOGY REGISTER'!D20)</f>
        <v>Energy Exports</v>
      </c>
      <c r="E70" s="38"/>
      <c r="F70" s="24" t="s">
        <v>98</v>
      </c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</row>
    <row r="71" spans="2:52" ht="17" customHeight="1" x14ac:dyDescent="0.45">
      <c r="B71" s="33" t="s">
        <v>140</v>
      </c>
      <c r="C71" s="29" t="s">
        <v>5</v>
      </c>
      <c r="D71" s="19" t="str">
        <f>IF('TECHNOLOGY REGISTER'!D21="","",'TECHNOLOGY REGISTER'!D21)</f>
        <v>Direct Solar</v>
      </c>
      <c r="E71" s="32"/>
      <c r="F71" s="32" t="s">
        <v>98</v>
      </c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</row>
    <row r="72" spans="2:52" ht="15" customHeight="1" x14ac:dyDescent="0.45">
      <c r="B72" s="8" t="s">
        <v>140</v>
      </c>
      <c r="C72" s="30" t="s">
        <v>5</v>
      </c>
      <c r="D72" s="17" t="str">
        <f>IF('TECHNOLOGY REGISTER'!D22="","",'TECHNOLOGY REGISTER'!D22)</f>
        <v>Direct Oil</v>
      </c>
      <c r="E72" s="38"/>
      <c r="F72" s="24" t="s">
        <v>98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</row>
    <row r="73" spans="2:52" ht="15" customHeight="1" x14ac:dyDescent="0.45">
      <c r="B73" s="33" t="s">
        <v>140</v>
      </c>
      <c r="C73" s="29" t="s">
        <v>5</v>
      </c>
      <c r="D73" s="19" t="str">
        <f>IF('TECHNOLOGY REGISTER'!D23="","",'TECHNOLOGY REGISTER'!D23)</f>
        <v>Direct Hydro</v>
      </c>
      <c r="E73" s="32"/>
      <c r="F73" s="32" t="s">
        <v>98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</row>
    <row r="74" spans="2:52" ht="15" customHeight="1" x14ac:dyDescent="0.45">
      <c r="B74" s="8" t="s">
        <v>140</v>
      </c>
      <c r="C74" s="30" t="s">
        <v>5</v>
      </c>
      <c r="D74" s="17" t="str">
        <f>IF('TECHNOLOGY REGISTER'!D24="","",'TECHNOLOGY REGISTER'!D24)</f>
        <v/>
      </c>
      <c r="E74" s="38"/>
      <c r="F74" s="24" t="s">
        <v>98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</row>
    <row r="75" spans="2:52" ht="15" customHeight="1" x14ac:dyDescent="0.45">
      <c r="B75" s="33" t="s">
        <v>140</v>
      </c>
      <c r="C75" s="29" t="s">
        <v>5</v>
      </c>
      <c r="D75" s="19" t="str">
        <f>IF('TECHNOLOGY REGISTER'!D25="","",'TECHNOLOGY REGISTER'!D25)</f>
        <v/>
      </c>
      <c r="E75" s="32"/>
      <c r="F75" s="32" t="s">
        <v>98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</row>
    <row r="76" spans="2:52" ht="15" customHeight="1" x14ac:dyDescent="0.45">
      <c r="B76" s="8" t="s">
        <v>140</v>
      </c>
      <c r="C76" s="30" t="s">
        <v>5</v>
      </c>
      <c r="D76" s="17" t="str">
        <f>IF('TECHNOLOGY REGISTER'!D26="","",'TECHNOLOGY REGISTER'!D26)</f>
        <v/>
      </c>
      <c r="E76" s="38"/>
      <c r="F76" s="24" t="s">
        <v>98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</row>
    <row r="77" spans="2:52" ht="15" customHeight="1" x14ac:dyDescent="0.45">
      <c r="B77" s="33" t="s">
        <v>140</v>
      </c>
      <c r="C77" s="29" t="s">
        <v>5</v>
      </c>
      <c r="D77" s="19" t="str">
        <f>IF('TECHNOLOGY REGISTER'!D27="","",'TECHNOLOGY REGISTER'!D27)</f>
        <v/>
      </c>
      <c r="E77" s="32"/>
      <c r="F77" s="32" t="s">
        <v>98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</row>
    <row r="78" spans="2:52" ht="15" customHeight="1" x14ac:dyDescent="0.45">
      <c r="B78" s="8" t="s">
        <v>140</v>
      </c>
      <c r="C78" s="30" t="s">
        <v>5</v>
      </c>
      <c r="D78" s="17" t="str">
        <f>IF('TECHNOLOGY REGISTER'!D28="","",'TECHNOLOGY REGISTER'!D28)</f>
        <v/>
      </c>
      <c r="E78" s="38"/>
      <c r="F78" s="24" t="s">
        <v>98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</row>
    <row r="79" spans="2:52" ht="15" customHeight="1" x14ac:dyDescent="0.45">
      <c r="B79" s="33" t="s">
        <v>140</v>
      </c>
      <c r="C79" s="29" t="s">
        <v>5</v>
      </c>
      <c r="D79" s="19" t="str">
        <f>IF('TECHNOLOGY REGISTER'!D29="","",'TECHNOLOGY REGISTER'!D29)</f>
        <v/>
      </c>
      <c r="E79" s="32"/>
      <c r="F79" s="32" t="s">
        <v>98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</row>
    <row r="80" spans="2:52" ht="15" customHeight="1" x14ac:dyDescent="0.45">
      <c r="B80" s="8" t="s">
        <v>140</v>
      </c>
      <c r="C80" s="30" t="s">
        <v>5</v>
      </c>
      <c r="D80" s="17" t="str">
        <f>IF('TECHNOLOGY REGISTER'!D30="","",'TECHNOLOGY REGISTER'!D30)</f>
        <v/>
      </c>
      <c r="E80" s="38"/>
      <c r="F80" s="24" t="s">
        <v>98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</row>
    <row r="81" spans="2:52" ht="15" customHeight="1" x14ac:dyDescent="0.45">
      <c r="B81" s="33" t="s">
        <v>140</v>
      </c>
      <c r="C81" s="29" t="s">
        <v>5</v>
      </c>
      <c r="D81" s="19" t="str">
        <f>IF('TECHNOLOGY REGISTER'!D31="","",'TECHNOLOGY REGISTER'!D31)</f>
        <v/>
      </c>
      <c r="E81" s="32"/>
      <c r="F81" s="32" t="s">
        <v>98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</row>
    <row r="82" spans="2:52" ht="15" customHeight="1" x14ac:dyDescent="0.45">
      <c r="B82" s="8" t="s">
        <v>140</v>
      </c>
      <c r="C82" s="30" t="s">
        <v>5</v>
      </c>
      <c r="D82" s="17" t="str">
        <f>IF('TECHNOLOGY REGISTER'!D32="","",'TECHNOLOGY REGISTER'!D32)</f>
        <v/>
      </c>
      <c r="E82" s="38"/>
      <c r="F82" s="24" t="s">
        <v>98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</row>
    <row r="83" spans="2:52" ht="15" customHeight="1" x14ac:dyDescent="0.45">
      <c r="B83" s="33" t="s">
        <v>140</v>
      </c>
      <c r="C83" s="29" t="s">
        <v>5</v>
      </c>
      <c r="D83" s="19" t="str">
        <f>IF('TECHNOLOGY REGISTER'!D33="","",'TECHNOLOGY REGISTER'!D33)</f>
        <v/>
      </c>
      <c r="E83" s="32"/>
      <c r="F83" s="32" t="s">
        <v>98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</row>
    <row r="84" spans="2:52" ht="15" customHeight="1" x14ac:dyDescent="0.45">
      <c r="B84" s="8" t="s">
        <v>140</v>
      </c>
      <c r="C84" s="30" t="s">
        <v>5</v>
      </c>
      <c r="D84" s="17" t="str">
        <f>IF('TECHNOLOGY REGISTER'!D34="","",'TECHNOLOGY REGISTER'!D34)</f>
        <v/>
      </c>
      <c r="E84" s="38"/>
      <c r="F84" s="24" t="s">
        <v>98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</row>
    <row r="85" spans="2:52" ht="15" customHeight="1" x14ac:dyDescent="0.45">
      <c r="B85" s="33" t="s">
        <v>140</v>
      </c>
      <c r="C85" s="29" t="s">
        <v>5</v>
      </c>
      <c r="D85" s="19" t="str">
        <f>IF('TECHNOLOGY REGISTER'!D35="","",'TECHNOLOGY REGISTER'!D35)</f>
        <v/>
      </c>
      <c r="E85" s="32"/>
      <c r="F85" s="32" t="s">
        <v>98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</row>
    <row r="86" spans="2:52" ht="15" customHeight="1" x14ac:dyDescent="0.45">
      <c r="B86" s="8" t="s">
        <v>140</v>
      </c>
      <c r="C86" s="30" t="s">
        <v>5</v>
      </c>
      <c r="D86" s="17" t="str">
        <f>IF('TECHNOLOGY REGISTER'!D36="","",'TECHNOLOGY REGISTER'!D36)</f>
        <v/>
      </c>
      <c r="E86" s="38"/>
      <c r="F86" s="24" t="s">
        <v>98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</row>
    <row r="87" spans="2:52" ht="15" customHeight="1" x14ac:dyDescent="0.45">
      <c r="B87" s="33" t="s">
        <v>140</v>
      </c>
      <c r="C87" s="29" t="s">
        <v>5</v>
      </c>
      <c r="D87" s="19" t="str">
        <f>IF('TECHNOLOGY REGISTER'!D37="","",'TECHNOLOGY REGISTER'!D37)</f>
        <v/>
      </c>
      <c r="E87" s="32"/>
      <c r="F87" s="32" t="s">
        <v>98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</row>
    <row r="88" spans="2:52" ht="15" customHeight="1" x14ac:dyDescent="0.45">
      <c r="B88" s="8" t="s">
        <v>140</v>
      </c>
      <c r="C88" s="30" t="s">
        <v>5</v>
      </c>
      <c r="D88" s="17" t="str">
        <f>IF('TECHNOLOGY REGISTER'!D38="","",'TECHNOLOGY REGISTER'!D38)</f>
        <v/>
      </c>
      <c r="E88" s="38"/>
      <c r="F88" s="24" t="s">
        <v>98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</row>
    <row r="89" spans="2:52" ht="15" customHeight="1" x14ac:dyDescent="0.45">
      <c r="B89" s="33" t="s">
        <v>140</v>
      </c>
      <c r="C89" s="29" t="s">
        <v>5</v>
      </c>
      <c r="D89" s="19" t="str">
        <f>IF('TECHNOLOGY REGISTER'!D39="","",'TECHNOLOGY REGISTER'!D39)</f>
        <v/>
      </c>
      <c r="E89" s="32"/>
      <c r="F89" s="32" t="s">
        <v>98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</row>
    <row r="90" spans="2:52" ht="15" customHeight="1" x14ac:dyDescent="0.45">
      <c r="B90" s="8" t="s">
        <v>140</v>
      </c>
      <c r="C90" s="30" t="s">
        <v>5</v>
      </c>
      <c r="D90" s="17" t="str">
        <f>IF('TECHNOLOGY REGISTER'!D40="","",'TECHNOLOGY REGISTER'!D40)</f>
        <v/>
      </c>
      <c r="E90" s="38"/>
      <c r="F90" s="24" t="s">
        <v>98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</row>
    <row r="91" spans="2:52" ht="15" customHeight="1" x14ac:dyDescent="0.45">
      <c r="B91" s="33" t="s">
        <v>140</v>
      </c>
      <c r="C91" s="29" t="s">
        <v>5</v>
      </c>
      <c r="D91" s="19" t="str">
        <f>IF('TECHNOLOGY REGISTER'!D41="","",'TECHNOLOGY REGISTER'!D41)</f>
        <v/>
      </c>
      <c r="E91" s="32"/>
      <c r="F91" s="32" t="s">
        <v>98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</row>
    <row r="92" spans="2:52" ht="15" customHeight="1" x14ac:dyDescent="0.45">
      <c r="B92" s="8" t="s">
        <v>140</v>
      </c>
      <c r="C92" s="30" t="s">
        <v>5</v>
      </c>
      <c r="D92" s="17" t="str">
        <f>IF('TECHNOLOGY REGISTER'!D42="","",'TECHNOLOGY REGISTER'!D42)</f>
        <v/>
      </c>
      <c r="E92" s="38"/>
      <c r="F92" s="24" t="s">
        <v>98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</row>
    <row r="93" spans="2:52" ht="15" customHeight="1" x14ac:dyDescent="0.45">
      <c r="B93" s="33" t="s">
        <v>140</v>
      </c>
      <c r="C93" s="29" t="s">
        <v>5</v>
      </c>
      <c r="D93" s="19" t="str">
        <f>IF('TECHNOLOGY REGISTER'!D43="","",'TECHNOLOGY REGISTER'!D43)</f>
        <v/>
      </c>
      <c r="E93" s="32"/>
      <c r="F93" s="32" t="s">
        <v>98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</row>
    <row r="94" spans="2:52" ht="15" customHeight="1" x14ac:dyDescent="0.45">
      <c r="B94" s="8" t="s">
        <v>140</v>
      </c>
      <c r="C94" s="30" t="s">
        <v>5</v>
      </c>
      <c r="D94" s="17" t="str">
        <f>IF('TECHNOLOGY REGISTER'!D44="","",'TECHNOLOGY REGISTER'!D44)</f>
        <v/>
      </c>
      <c r="E94" s="38"/>
      <c r="F94" s="24" t="s">
        <v>98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</row>
    <row r="95" spans="2:52" ht="15" customHeight="1" x14ac:dyDescent="0.45">
      <c r="B95" s="33" t="s">
        <v>140</v>
      </c>
      <c r="C95" s="29" t="s">
        <v>5</v>
      </c>
      <c r="D95" s="19" t="str">
        <f>IF('TECHNOLOGY REGISTER'!D45="","",'TECHNOLOGY REGISTER'!D45)</f>
        <v/>
      </c>
      <c r="E95" s="32"/>
      <c r="F95" s="32" t="s">
        <v>98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</row>
    <row r="96" spans="2:52" ht="15" customHeight="1" x14ac:dyDescent="0.45">
      <c r="B96" s="8" t="s">
        <v>140</v>
      </c>
      <c r="C96" s="30" t="s">
        <v>5</v>
      </c>
      <c r="D96" s="17" t="str">
        <f>IF('TECHNOLOGY REGISTER'!D46="","",'TECHNOLOGY REGISTER'!D46)</f>
        <v/>
      </c>
      <c r="E96" s="38"/>
      <c r="F96" s="24" t="s">
        <v>98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</row>
    <row r="97" spans="2:52" ht="15" customHeight="1" x14ac:dyDescent="0.45">
      <c r="B97" s="33" t="s">
        <v>140</v>
      </c>
      <c r="C97" s="29" t="s">
        <v>5</v>
      </c>
      <c r="D97" s="19" t="str">
        <f>IF('TECHNOLOGY REGISTER'!D47="","",'TECHNOLOGY REGISTER'!D47)</f>
        <v/>
      </c>
      <c r="E97" s="32"/>
      <c r="F97" s="32" t="s">
        <v>98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</row>
    <row r="98" spans="2:52" ht="15" customHeight="1" x14ac:dyDescent="0.45">
      <c r="B98" s="8" t="s">
        <v>140</v>
      </c>
      <c r="C98" s="30" t="s">
        <v>5</v>
      </c>
      <c r="D98" s="17" t="str">
        <f>IF('TECHNOLOGY REGISTER'!D48="","",'TECHNOLOGY REGISTER'!D48)</f>
        <v/>
      </c>
      <c r="E98" s="38"/>
      <c r="F98" s="24" t="s">
        <v>98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</row>
    <row r="99" spans="2:52" ht="15" customHeight="1" x14ac:dyDescent="0.45">
      <c r="B99" s="33" t="s">
        <v>140</v>
      </c>
      <c r="C99" s="29" t="s">
        <v>5</v>
      </c>
      <c r="D99" s="19" t="str">
        <f>IF('TECHNOLOGY REGISTER'!D49="","",'TECHNOLOGY REGISTER'!D49)</f>
        <v/>
      </c>
      <c r="E99" s="32"/>
      <c r="F99" s="32" t="s">
        <v>98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</row>
    <row r="100" spans="2:52" ht="15" customHeight="1" x14ac:dyDescent="0.45">
      <c r="B100" s="8" t="s">
        <v>140</v>
      </c>
      <c r="C100" s="30" t="s">
        <v>5</v>
      </c>
      <c r="D100" s="17" t="str">
        <f>IF('TECHNOLOGY REGISTER'!D50="","",'TECHNOLOGY REGISTER'!D50)</f>
        <v/>
      </c>
      <c r="E100" s="38"/>
      <c r="F100" s="24" t="s">
        <v>98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</row>
    <row r="101" spans="2:52" ht="15" customHeight="1" x14ac:dyDescent="0.45">
      <c r="B101" s="33" t="s">
        <v>140</v>
      </c>
      <c r="C101" s="29" t="s">
        <v>5</v>
      </c>
      <c r="D101" s="19" t="str">
        <f>IF('TECHNOLOGY REGISTER'!D51="","",'TECHNOLOGY REGISTER'!D51)</f>
        <v/>
      </c>
      <c r="E101" s="32"/>
      <c r="F101" s="32" t="s">
        <v>98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</row>
    <row r="102" spans="2:52" ht="15" customHeight="1" x14ac:dyDescent="0.45">
      <c r="B102" s="8" t="s">
        <v>140</v>
      </c>
      <c r="C102" s="30" t="s">
        <v>5</v>
      </c>
      <c r="D102" s="17" t="str">
        <f>IF('TECHNOLOGY REGISTER'!D52="","",'TECHNOLOGY REGISTER'!D52)</f>
        <v/>
      </c>
      <c r="E102" s="38"/>
      <c r="F102" s="24" t="s">
        <v>98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2:52" ht="15" customHeight="1" x14ac:dyDescent="0.45">
      <c r="B103" s="33" t="s">
        <v>140</v>
      </c>
      <c r="C103" s="29" t="s">
        <v>5</v>
      </c>
      <c r="D103" s="19" t="str">
        <f>IF('TECHNOLOGY REGISTER'!D53="","",'TECHNOLOGY REGISTER'!D53)</f>
        <v/>
      </c>
      <c r="E103" s="32"/>
      <c r="F103" s="32" t="s">
        <v>98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</row>
    <row r="104" spans="2:52" ht="15" customHeight="1" x14ac:dyDescent="0.45">
      <c r="B104" s="8" t="s">
        <v>140</v>
      </c>
      <c r="C104" s="30" t="s">
        <v>5</v>
      </c>
      <c r="D104" s="17" t="str">
        <f>IF('TECHNOLOGY REGISTER'!D54="","",'TECHNOLOGY REGISTER'!D54)</f>
        <v/>
      </c>
      <c r="E104" s="38"/>
      <c r="F104" s="24" t="s">
        <v>98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</row>
    <row r="105" spans="2:52" ht="15" customHeight="1" x14ac:dyDescent="0.45">
      <c r="B105" s="33" t="s">
        <v>140</v>
      </c>
      <c r="C105" s="29" t="s">
        <v>5</v>
      </c>
      <c r="D105" s="19" t="str">
        <f>IF('TECHNOLOGY REGISTER'!D55="","",'TECHNOLOGY REGISTER'!D55)</f>
        <v/>
      </c>
      <c r="E105" s="32"/>
      <c r="F105" s="32" t="s">
        <v>98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</row>
    <row r="106" spans="2:52" ht="15" customHeight="1" thickBot="1" x14ac:dyDescent="0.5">
      <c r="B106" s="8" t="s">
        <v>140</v>
      </c>
      <c r="C106" s="30" t="s">
        <v>5</v>
      </c>
      <c r="D106" s="17" t="str">
        <f>IF('TECHNOLOGY REGISTER'!D56="","",'TECHNOLOGY REGISTER'!D56)</f>
        <v/>
      </c>
      <c r="E106" s="38"/>
      <c r="F106" s="24" t="s">
        <v>98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</row>
    <row r="107" spans="2:52" customFormat="1" ht="20" customHeight="1" x14ac:dyDescent="0.5">
      <c r="B107" s="69" t="s">
        <v>141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</row>
    <row r="108" spans="2:52" ht="17" customHeight="1" x14ac:dyDescent="0.45">
      <c r="B108" s="33" t="s">
        <v>142</v>
      </c>
      <c r="C108" s="29" t="s">
        <v>5</v>
      </c>
      <c r="D108" s="19" t="str">
        <f>IF('TECHNOLOGY REGISTER'!D7="","",'TECHNOLOGY REGISTER'!D7)</f>
        <v>Biomass</v>
      </c>
      <c r="E108" s="32" t="str">
        <f>IF(D108="","",MACROECONOMIC!$E$7)</f>
        <v>USD</v>
      </c>
      <c r="F108" s="32" t="str">
        <f>IF(E108="","","Mn "&amp;E108)</f>
        <v>Mn USD</v>
      </c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</row>
    <row r="109" spans="2:52" ht="17" customHeight="1" x14ac:dyDescent="0.45">
      <c r="B109" s="8" t="s">
        <v>142</v>
      </c>
      <c r="C109" s="30" t="s">
        <v>5</v>
      </c>
      <c r="D109" s="17" t="str">
        <f>IF('TECHNOLOGY REGISTER'!D8="","",'TECHNOLOGY REGISTER'!D8)</f>
        <v>Geothermal</v>
      </c>
      <c r="E109" s="38" t="str">
        <f>IF(D109="","",MACROECONOMIC!$E$7)</f>
        <v>USD</v>
      </c>
      <c r="F109" s="24" t="str">
        <f t="shared" ref="F109:F157" si="0">IF(E109="","","Mn "&amp;E109)</f>
        <v>Mn USD</v>
      </c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</row>
    <row r="110" spans="2:52" ht="17" customHeight="1" x14ac:dyDescent="0.45">
      <c r="B110" s="33" t="s">
        <v>142</v>
      </c>
      <c r="C110" s="29" t="s">
        <v>5</v>
      </c>
      <c r="D110" s="19" t="str">
        <f>IF('TECHNOLOGY REGISTER'!D9="","",'TECHNOLOGY REGISTER'!D9)</f>
        <v>Solar PV</v>
      </c>
      <c r="E110" s="32" t="str">
        <f>IF(D110="","",MACROECONOMIC!$E$7)</f>
        <v>USD</v>
      </c>
      <c r="F110" s="32" t="str">
        <f t="shared" si="0"/>
        <v>Mn USD</v>
      </c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</row>
    <row r="111" spans="2:52" ht="17" customHeight="1" x14ac:dyDescent="0.45">
      <c r="B111" s="8" t="s">
        <v>142</v>
      </c>
      <c r="C111" s="30" t="s">
        <v>5</v>
      </c>
      <c r="D111" s="17" t="str">
        <f>IF('TECHNOLOGY REGISTER'!D10="","",'TECHNOLOGY REGISTER'!D10)</f>
        <v>CSP</v>
      </c>
      <c r="E111" s="38" t="str">
        <f>IF(D111="","",MACROECONOMIC!$E$7)</f>
        <v>USD</v>
      </c>
      <c r="F111" s="24" t="str">
        <f t="shared" si="0"/>
        <v>Mn USD</v>
      </c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</row>
    <row r="112" spans="2:52" ht="17" customHeight="1" x14ac:dyDescent="0.45">
      <c r="B112" s="33" t="s">
        <v>142</v>
      </c>
      <c r="C112" s="29" t="s">
        <v>5</v>
      </c>
      <c r="D112" s="19" t="str">
        <f>IF('TECHNOLOGY REGISTER'!D11="","",'TECHNOLOGY REGISTER'!D11)</f>
        <v>Hydropower</v>
      </c>
      <c r="E112" s="32" t="str">
        <f>IF(D112="","",MACROECONOMIC!$E$7)</f>
        <v>USD</v>
      </c>
      <c r="F112" s="32" t="str">
        <f t="shared" si="0"/>
        <v>Mn USD</v>
      </c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</row>
    <row r="113" spans="2:52" ht="17" customHeight="1" x14ac:dyDescent="0.45">
      <c r="B113" s="8" t="s">
        <v>142</v>
      </c>
      <c r="C113" s="30" t="s">
        <v>5</v>
      </c>
      <c r="D113" s="17" t="str">
        <f>IF('TECHNOLOGY REGISTER'!D12="","",'TECHNOLOGY REGISTER'!D12)</f>
        <v>Nuclear</v>
      </c>
      <c r="E113" s="38" t="str">
        <f>IF(D113="","",MACROECONOMIC!$E$7)</f>
        <v>USD</v>
      </c>
      <c r="F113" s="24" t="str">
        <f t="shared" si="0"/>
        <v>Mn USD</v>
      </c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</row>
    <row r="114" spans="2:52" ht="17" customHeight="1" x14ac:dyDescent="0.45">
      <c r="B114" s="33" t="s">
        <v>142</v>
      </c>
      <c r="C114" s="29" t="s">
        <v>5</v>
      </c>
      <c r="D114" s="19" t="str">
        <f>IF('TECHNOLOGY REGISTER'!D13="","",'TECHNOLOGY REGISTER'!D13)</f>
        <v>Wind</v>
      </c>
      <c r="E114" s="32" t="str">
        <f>IF(D114="","",MACROECONOMIC!$E$7)</f>
        <v>USD</v>
      </c>
      <c r="F114" s="32" t="str">
        <f t="shared" si="0"/>
        <v>Mn USD</v>
      </c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</row>
    <row r="115" spans="2:52" ht="17" customHeight="1" x14ac:dyDescent="0.45">
      <c r="B115" s="8" t="s">
        <v>142</v>
      </c>
      <c r="C115" s="30" t="s">
        <v>5</v>
      </c>
      <c r="D115" s="17" t="str">
        <f>IF('TECHNOLOGY REGISTER'!D14="","",'TECHNOLOGY REGISTER'!D14)</f>
        <v>Coal</v>
      </c>
      <c r="E115" s="38" t="str">
        <f>IF(D115="","",MACROECONOMIC!$E$7)</f>
        <v>USD</v>
      </c>
      <c r="F115" s="24" t="str">
        <f t="shared" si="0"/>
        <v>Mn USD</v>
      </c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</row>
    <row r="116" spans="2:52" ht="17" customHeight="1" x14ac:dyDescent="0.45">
      <c r="B116" s="33" t="s">
        <v>142</v>
      </c>
      <c r="C116" s="29" t="s">
        <v>5</v>
      </c>
      <c r="D116" s="19" t="str">
        <f>IF('TECHNOLOGY REGISTER'!D15="","",'TECHNOLOGY REGISTER'!D15)</f>
        <v>Oil</v>
      </c>
      <c r="E116" s="32" t="str">
        <f>IF(D116="","",MACROECONOMIC!$E$7)</f>
        <v>USD</v>
      </c>
      <c r="F116" s="32" t="str">
        <f t="shared" si="0"/>
        <v>Mn USD</v>
      </c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</row>
    <row r="117" spans="2:52" ht="17" customHeight="1" x14ac:dyDescent="0.45">
      <c r="B117" s="8" t="s">
        <v>142</v>
      </c>
      <c r="C117" s="30" t="s">
        <v>5</v>
      </c>
      <c r="D117" s="17" t="str">
        <f>IF('TECHNOLOGY REGISTER'!D16="","",'TECHNOLOGY REGISTER'!D16)</f>
        <v>Gas</v>
      </c>
      <c r="E117" s="38" t="str">
        <f>IF(D117="","",MACROECONOMIC!$E$7)</f>
        <v>USD</v>
      </c>
      <c r="F117" s="24" t="str">
        <f t="shared" si="0"/>
        <v>Mn USD</v>
      </c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</row>
    <row r="118" spans="2:52" ht="17" customHeight="1" x14ac:dyDescent="0.45">
      <c r="B118" s="33" t="s">
        <v>142</v>
      </c>
      <c r="C118" s="29" t="s">
        <v>5</v>
      </c>
      <c r="D118" s="19" t="str">
        <f>IF('TECHNOLOGY REGISTER'!D17="","",'TECHNOLOGY REGISTER'!D17)</f>
        <v>Transmission</v>
      </c>
      <c r="E118" s="32" t="str">
        <f>IF(D118="","",MACROECONOMIC!$E$7)</f>
        <v>USD</v>
      </c>
      <c r="F118" s="32" t="str">
        <f t="shared" si="0"/>
        <v>Mn USD</v>
      </c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</row>
    <row r="119" spans="2:52" ht="17" customHeight="1" x14ac:dyDescent="0.45">
      <c r="B119" s="8" t="s">
        <v>142</v>
      </c>
      <c r="C119" s="30" t="s">
        <v>5</v>
      </c>
      <c r="D119" s="17" t="str">
        <f>IF('TECHNOLOGY REGISTER'!D18="","",'TECHNOLOGY REGISTER'!D18)</f>
        <v>Distribution</v>
      </c>
      <c r="E119" s="38" t="str">
        <f>IF(D119="","",MACROECONOMIC!$E$7)</f>
        <v>USD</v>
      </c>
      <c r="F119" s="24" t="str">
        <f t="shared" si="0"/>
        <v>Mn USD</v>
      </c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</row>
    <row r="120" spans="2:52" ht="17" customHeight="1" x14ac:dyDescent="0.45">
      <c r="B120" s="33" t="s">
        <v>142</v>
      </c>
      <c r="C120" s="29" t="s">
        <v>5</v>
      </c>
      <c r="D120" s="19" t="str">
        <f>IF('TECHNOLOGY REGISTER'!D19="","",'TECHNOLOGY REGISTER'!D19)</f>
        <v>Imports</v>
      </c>
      <c r="E120" s="32" t="str">
        <f>IF(D120="","",MACROECONOMIC!$E$7)</f>
        <v>USD</v>
      </c>
      <c r="F120" s="32" t="str">
        <f t="shared" si="0"/>
        <v>Mn USD</v>
      </c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</row>
    <row r="121" spans="2:52" ht="17" customHeight="1" x14ac:dyDescent="0.45">
      <c r="B121" s="8" t="s">
        <v>142</v>
      </c>
      <c r="C121" s="30" t="s">
        <v>5</v>
      </c>
      <c r="D121" s="17" t="str">
        <f>IF('TECHNOLOGY REGISTER'!D20="","",'TECHNOLOGY REGISTER'!D20)</f>
        <v>Energy Exports</v>
      </c>
      <c r="E121" s="38" t="str">
        <f>IF(D121="","",MACROECONOMIC!$E$7)</f>
        <v>USD</v>
      </c>
      <c r="F121" s="24" t="str">
        <f t="shared" si="0"/>
        <v>Mn USD</v>
      </c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</row>
    <row r="122" spans="2:52" ht="17" customHeight="1" x14ac:dyDescent="0.45">
      <c r="B122" s="33" t="s">
        <v>142</v>
      </c>
      <c r="C122" s="29" t="s">
        <v>5</v>
      </c>
      <c r="D122" s="19" t="str">
        <f>IF('TECHNOLOGY REGISTER'!D21="","",'TECHNOLOGY REGISTER'!D21)</f>
        <v>Direct Solar</v>
      </c>
      <c r="E122" s="32" t="str">
        <f>IF(D122="","",MACROECONOMIC!$E$7)</f>
        <v>USD</v>
      </c>
      <c r="F122" s="32" t="str">
        <f t="shared" si="0"/>
        <v>Mn USD</v>
      </c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</row>
    <row r="123" spans="2:52" ht="15" customHeight="1" x14ac:dyDescent="0.45">
      <c r="B123" s="8" t="s">
        <v>142</v>
      </c>
      <c r="C123" s="30" t="s">
        <v>5</v>
      </c>
      <c r="D123" s="17" t="str">
        <f>IF('TECHNOLOGY REGISTER'!D22="","",'TECHNOLOGY REGISTER'!D22)</f>
        <v>Direct Oil</v>
      </c>
      <c r="E123" s="38" t="str">
        <f>IF(D123="","",MACROECONOMIC!$E$7)</f>
        <v>USD</v>
      </c>
      <c r="F123" s="24" t="str">
        <f t="shared" si="0"/>
        <v>Mn USD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</row>
    <row r="124" spans="2:52" ht="15" customHeight="1" x14ac:dyDescent="0.45">
      <c r="B124" s="33" t="s">
        <v>142</v>
      </c>
      <c r="C124" s="29" t="s">
        <v>5</v>
      </c>
      <c r="D124" s="19" t="str">
        <f>IF('TECHNOLOGY REGISTER'!D23="","",'TECHNOLOGY REGISTER'!D23)</f>
        <v>Direct Hydro</v>
      </c>
      <c r="E124" s="32" t="str">
        <f>IF(D124="","",MACROECONOMIC!$E$7)</f>
        <v>USD</v>
      </c>
      <c r="F124" s="32" t="str">
        <f t="shared" si="0"/>
        <v>Mn USD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</row>
    <row r="125" spans="2:52" ht="15" customHeight="1" x14ac:dyDescent="0.45">
      <c r="B125" s="8" t="s">
        <v>142</v>
      </c>
      <c r="C125" s="30" t="s">
        <v>5</v>
      </c>
      <c r="D125" s="17" t="str">
        <f>IF('TECHNOLOGY REGISTER'!D24="","",'TECHNOLOGY REGISTER'!D24)</f>
        <v/>
      </c>
      <c r="E125" s="38" t="str">
        <f>IF(D125="","",MACROECONOMIC!$E$7)</f>
        <v/>
      </c>
      <c r="F125" s="24" t="str">
        <f t="shared" si="0"/>
        <v/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</row>
    <row r="126" spans="2:52" ht="15" customHeight="1" x14ac:dyDescent="0.45">
      <c r="B126" s="33" t="s">
        <v>142</v>
      </c>
      <c r="C126" s="29" t="s">
        <v>5</v>
      </c>
      <c r="D126" s="19" t="str">
        <f>IF('TECHNOLOGY REGISTER'!D25="","",'TECHNOLOGY REGISTER'!D25)</f>
        <v/>
      </c>
      <c r="E126" s="32" t="str">
        <f>IF(D126="","",MACROECONOMIC!$E$7)</f>
        <v/>
      </c>
      <c r="F126" s="32" t="str">
        <f t="shared" si="0"/>
        <v/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</row>
    <row r="127" spans="2:52" ht="15" customHeight="1" x14ac:dyDescent="0.45">
      <c r="B127" s="8" t="s">
        <v>142</v>
      </c>
      <c r="C127" s="30" t="s">
        <v>5</v>
      </c>
      <c r="D127" s="17" t="str">
        <f>IF('TECHNOLOGY REGISTER'!D26="","",'TECHNOLOGY REGISTER'!D26)</f>
        <v/>
      </c>
      <c r="E127" s="38" t="str">
        <f>IF(D127="","",MACROECONOMIC!$E$7)</f>
        <v/>
      </c>
      <c r="F127" s="24" t="str">
        <f t="shared" si="0"/>
        <v/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</row>
    <row r="128" spans="2:52" ht="15" customHeight="1" x14ac:dyDescent="0.45">
      <c r="B128" s="33" t="s">
        <v>142</v>
      </c>
      <c r="C128" s="29" t="s">
        <v>5</v>
      </c>
      <c r="D128" s="19" t="str">
        <f>IF('TECHNOLOGY REGISTER'!D27="","",'TECHNOLOGY REGISTER'!D27)</f>
        <v/>
      </c>
      <c r="E128" s="32" t="str">
        <f>IF(D128="","",MACROECONOMIC!$E$7)</f>
        <v/>
      </c>
      <c r="F128" s="32" t="str">
        <f t="shared" si="0"/>
        <v/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</row>
    <row r="129" spans="2:52" ht="15" customHeight="1" x14ac:dyDescent="0.45">
      <c r="B129" s="8" t="s">
        <v>142</v>
      </c>
      <c r="C129" s="30" t="s">
        <v>5</v>
      </c>
      <c r="D129" s="17" t="str">
        <f>IF('TECHNOLOGY REGISTER'!D28="","",'TECHNOLOGY REGISTER'!D28)</f>
        <v/>
      </c>
      <c r="E129" s="38" t="str">
        <f>IF(D129="","",MACROECONOMIC!$E$7)</f>
        <v/>
      </c>
      <c r="F129" s="24" t="str">
        <f t="shared" si="0"/>
        <v/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</row>
    <row r="130" spans="2:52" ht="15" customHeight="1" x14ac:dyDescent="0.45">
      <c r="B130" s="33" t="s">
        <v>142</v>
      </c>
      <c r="C130" s="29" t="s">
        <v>5</v>
      </c>
      <c r="D130" s="19" t="str">
        <f>IF('TECHNOLOGY REGISTER'!D29="","",'TECHNOLOGY REGISTER'!D29)</f>
        <v/>
      </c>
      <c r="E130" s="32" t="str">
        <f>IF(D130="","",MACROECONOMIC!$E$7)</f>
        <v/>
      </c>
      <c r="F130" s="32" t="str">
        <f t="shared" si="0"/>
        <v/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2:52" ht="15" customHeight="1" x14ac:dyDescent="0.45">
      <c r="B131" s="8" t="s">
        <v>142</v>
      </c>
      <c r="C131" s="30" t="s">
        <v>5</v>
      </c>
      <c r="D131" s="17" t="str">
        <f>IF('TECHNOLOGY REGISTER'!D30="","",'TECHNOLOGY REGISTER'!D30)</f>
        <v/>
      </c>
      <c r="E131" s="38" t="str">
        <f>IF(D131="","",MACROECONOMIC!$E$7)</f>
        <v/>
      </c>
      <c r="F131" s="24" t="str">
        <f t="shared" si="0"/>
        <v/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</row>
    <row r="132" spans="2:52" ht="15" customHeight="1" x14ac:dyDescent="0.45">
      <c r="B132" s="33" t="s">
        <v>142</v>
      </c>
      <c r="C132" s="29" t="s">
        <v>5</v>
      </c>
      <c r="D132" s="19" t="str">
        <f>IF('TECHNOLOGY REGISTER'!D31="","",'TECHNOLOGY REGISTER'!D31)</f>
        <v/>
      </c>
      <c r="E132" s="32" t="str">
        <f>IF(D132="","",MACROECONOMIC!$E$7)</f>
        <v/>
      </c>
      <c r="F132" s="32" t="str">
        <f t="shared" si="0"/>
        <v/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</row>
    <row r="133" spans="2:52" ht="15" customHeight="1" x14ac:dyDescent="0.45">
      <c r="B133" s="8" t="s">
        <v>142</v>
      </c>
      <c r="C133" s="30" t="s">
        <v>5</v>
      </c>
      <c r="D133" s="17" t="str">
        <f>IF('TECHNOLOGY REGISTER'!D32="","",'TECHNOLOGY REGISTER'!D32)</f>
        <v/>
      </c>
      <c r="E133" s="38" t="str">
        <f>IF(D133="","",MACROECONOMIC!$E$7)</f>
        <v/>
      </c>
      <c r="F133" s="24" t="str">
        <f t="shared" si="0"/>
        <v/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</row>
    <row r="134" spans="2:52" ht="15" customHeight="1" x14ac:dyDescent="0.45">
      <c r="B134" s="33" t="s">
        <v>142</v>
      </c>
      <c r="C134" s="29" t="s">
        <v>5</v>
      </c>
      <c r="D134" s="19" t="str">
        <f>IF('TECHNOLOGY REGISTER'!D33="","",'TECHNOLOGY REGISTER'!D33)</f>
        <v/>
      </c>
      <c r="E134" s="32" t="str">
        <f>IF(D134="","",MACROECONOMIC!$E$7)</f>
        <v/>
      </c>
      <c r="F134" s="32" t="str">
        <f t="shared" si="0"/>
        <v/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</row>
    <row r="135" spans="2:52" ht="15" customHeight="1" x14ac:dyDescent="0.45">
      <c r="B135" s="8" t="s">
        <v>142</v>
      </c>
      <c r="C135" s="30" t="s">
        <v>5</v>
      </c>
      <c r="D135" s="17" t="str">
        <f>IF('TECHNOLOGY REGISTER'!D34="","",'TECHNOLOGY REGISTER'!D34)</f>
        <v/>
      </c>
      <c r="E135" s="38" t="str">
        <f>IF(D135="","",MACROECONOMIC!$E$7)</f>
        <v/>
      </c>
      <c r="F135" s="24" t="str">
        <f t="shared" si="0"/>
        <v/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</row>
    <row r="136" spans="2:52" ht="15" customHeight="1" x14ac:dyDescent="0.45">
      <c r="B136" s="33" t="s">
        <v>142</v>
      </c>
      <c r="C136" s="29" t="s">
        <v>5</v>
      </c>
      <c r="D136" s="19" t="str">
        <f>IF('TECHNOLOGY REGISTER'!D35="","",'TECHNOLOGY REGISTER'!D35)</f>
        <v/>
      </c>
      <c r="E136" s="32" t="str">
        <f>IF(D136="","",MACROECONOMIC!$E$7)</f>
        <v/>
      </c>
      <c r="F136" s="32" t="str">
        <f t="shared" si="0"/>
        <v/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</row>
    <row r="137" spans="2:52" ht="15" customHeight="1" x14ac:dyDescent="0.45">
      <c r="B137" s="8" t="s">
        <v>142</v>
      </c>
      <c r="C137" s="30" t="s">
        <v>5</v>
      </c>
      <c r="D137" s="17" t="str">
        <f>IF('TECHNOLOGY REGISTER'!D36="","",'TECHNOLOGY REGISTER'!D36)</f>
        <v/>
      </c>
      <c r="E137" s="38" t="str">
        <f>IF(D137="","",MACROECONOMIC!$E$7)</f>
        <v/>
      </c>
      <c r="F137" s="24" t="str">
        <f t="shared" si="0"/>
        <v/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</row>
    <row r="138" spans="2:52" ht="15" customHeight="1" x14ac:dyDescent="0.45">
      <c r="B138" s="33" t="s">
        <v>142</v>
      </c>
      <c r="C138" s="29" t="s">
        <v>5</v>
      </c>
      <c r="D138" s="19" t="str">
        <f>IF('TECHNOLOGY REGISTER'!D37="","",'TECHNOLOGY REGISTER'!D37)</f>
        <v/>
      </c>
      <c r="E138" s="32" t="str">
        <f>IF(D138="","",MACROECONOMIC!$E$7)</f>
        <v/>
      </c>
      <c r="F138" s="32" t="str">
        <f t="shared" si="0"/>
        <v/>
      </c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</row>
    <row r="139" spans="2:52" ht="15" customHeight="1" x14ac:dyDescent="0.45">
      <c r="B139" s="8" t="s">
        <v>142</v>
      </c>
      <c r="C139" s="30" t="s">
        <v>5</v>
      </c>
      <c r="D139" s="17" t="str">
        <f>IF('TECHNOLOGY REGISTER'!D38="","",'TECHNOLOGY REGISTER'!D38)</f>
        <v/>
      </c>
      <c r="E139" s="38" t="str">
        <f>IF(D139="","",MACROECONOMIC!$E$7)</f>
        <v/>
      </c>
      <c r="F139" s="24" t="str">
        <f t="shared" si="0"/>
        <v/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</row>
    <row r="140" spans="2:52" ht="15" customHeight="1" x14ac:dyDescent="0.45">
      <c r="B140" s="33" t="s">
        <v>142</v>
      </c>
      <c r="C140" s="29" t="s">
        <v>5</v>
      </c>
      <c r="D140" s="19" t="str">
        <f>IF('TECHNOLOGY REGISTER'!D39="","",'TECHNOLOGY REGISTER'!D39)</f>
        <v/>
      </c>
      <c r="E140" s="32" t="str">
        <f>IF(D140="","",MACROECONOMIC!$E$7)</f>
        <v/>
      </c>
      <c r="F140" s="32" t="str">
        <f t="shared" si="0"/>
        <v/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</row>
    <row r="141" spans="2:52" ht="15" customHeight="1" x14ac:dyDescent="0.45">
      <c r="B141" s="8" t="s">
        <v>142</v>
      </c>
      <c r="C141" s="30" t="s">
        <v>5</v>
      </c>
      <c r="D141" s="17" t="str">
        <f>IF('TECHNOLOGY REGISTER'!D40="","",'TECHNOLOGY REGISTER'!D40)</f>
        <v/>
      </c>
      <c r="E141" s="38" t="str">
        <f>IF(D141="","",MACROECONOMIC!$E$7)</f>
        <v/>
      </c>
      <c r="F141" s="24" t="str">
        <f t="shared" si="0"/>
        <v/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</row>
    <row r="142" spans="2:52" ht="15" customHeight="1" x14ac:dyDescent="0.45">
      <c r="B142" s="33" t="s">
        <v>142</v>
      </c>
      <c r="C142" s="29" t="s">
        <v>5</v>
      </c>
      <c r="D142" s="19" t="str">
        <f>IF('TECHNOLOGY REGISTER'!D41="","",'TECHNOLOGY REGISTER'!D41)</f>
        <v/>
      </c>
      <c r="E142" s="32" t="str">
        <f>IF(D142="","",MACROECONOMIC!$E$7)</f>
        <v/>
      </c>
      <c r="F142" s="32" t="str">
        <f t="shared" si="0"/>
        <v/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</row>
    <row r="143" spans="2:52" ht="15" customHeight="1" x14ac:dyDescent="0.45">
      <c r="B143" s="8" t="s">
        <v>142</v>
      </c>
      <c r="C143" s="30" t="s">
        <v>5</v>
      </c>
      <c r="D143" s="17" t="str">
        <f>IF('TECHNOLOGY REGISTER'!D42="","",'TECHNOLOGY REGISTER'!D42)</f>
        <v/>
      </c>
      <c r="E143" s="38" t="str">
        <f>IF(D143="","",MACROECONOMIC!$E$7)</f>
        <v/>
      </c>
      <c r="F143" s="24" t="str">
        <f t="shared" si="0"/>
        <v/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</row>
    <row r="144" spans="2:52" ht="15" customHeight="1" x14ac:dyDescent="0.45">
      <c r="B144" s="33" t="s">
        <v>142</v>
      </c>
      <c r="C144" s="29" t="s">
        <v>5</v>
      </c>
      <c r="D144" s="19" t="str">
        <f>IF('TECHNOLOGY REGISTER'!D43="","",'TECHNOLOGY REGISTER'!D43)</f>
        <v/>
      </c>
      <c r="E144" s="32" t="str">
        <f>IF(D144="","",MACROECONOMIC!$E$7)</f>
        <v/>
      </c>
      <c r="F144" s="32" t="str">
        <f t="shared" si="0"/>
        <v/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</row>
    <row r="145" spans="2:52" ht="15" customHeight="1" x14ac:dyDescent="0.45">
      <c r="B145" s="8" t="s">
        <v>142</v>
      </c>
      <c r="C145" s="30" t="s">
        <v>5</v>
      </c>
      <c r="D145" s="17" t="str">
        <f>IF('TECHNOLOGY REGISTER'!D44="","",'TECHNOLOGY REGISTER'!D44)</f>
        <v/>
      </c>
      <c r="E145" s="38" t="str">
        <f>IF(D145="","",MACROECONOMIC!$E$7)</f>
        <v/>
      </c>
      <c r="F145" s="24" t="str">
        <f t="shared" si="0"/>
        <v/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</row>
    <row r="146" spans="2:52" ht="15" customHeight="1" x14ac:dyDescent="0.45">
      <c r="B146" s="33" t="s">
        <v>142</v>
      </c>
      <c r="C146" s="29" t="s">
        <v>5</v>
      </c>
      <c r="D146" s="19" t="str">
        <f>IF('TECHNOLOGY REGISTER'!D45="","",'TECHNOLOGY REGISTER'!D45)</f>
        <v/>
      </c>
      <c r="E146" s="32" t="str">
        <f>IF(D146="","",MACROECONOMIC!$E$7)</f>
        <v/>
      </c>
      <c r="F146" s="32" t="str">
        <f t="shared" si="0"/>
        <v/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2:52" ht="15" customHeight="1" x14ac:dyDescent="0.45">
      <c r="B147" s="8" t="s">
        <v>142</v>
      </c>
      <c r="C147" s="30" t="s">
        <v>5</v>
      </c>
      <c r="D147" s="17" t="str">
        <f>IF('TECHNOLOGY REGISTER'!D46="","",'TECHNOLOGY REGISTER'!D46)</f>
        <v/>
      </c>
      <c r="E147" s="38" t="str">
        <f>IF(D147="","",MACROECONOMIC!$E$7)</f>
        <v/>
      </c>
      <c r="F147" s="24" t="str">
        <f t="shared" si="0"/>
        <v/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</row>
    <row r="148" spans="2:52" ht="15" customHeight="1" x14ac:dyDescent="0.45">
      <c r="B148" s="33" t="s">
        <v>142</v>
      </c>
      <c r="C148" s="29" t="s">
        <v>5</v>
      </c>
      <c r="D148" s="19" t="str">
        <f>IF('TECHNOLOGY REGISTER'!D47="","",'TECHNOLOGY REGISTER'!D47)</f>
        <v/>
      </c>
      <c r="E148" s="32" t="str">
        <f>IF(D148="","",MACROECONOMIC!$E$7)</f>
        <v/>
      </c>
      <c r="F148" s="32" t="str">
        <f t="shared" si="0"/>
        <v/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</row>
    <row r="149" spans="2:52" ht="15" customHeight="1" x14ac:dyDescent="0.45">
      <c r="B149" s="8" t="s">
        <v>142</v>
      </c>
      <c r="C149" s="30" t="s">
        <v>5</v>
      </c>
      <c r="D149" s="17" t="str">
        <f>IF('TECHNOLOGY REGISTER'!D48="","",'TECHNOLOGY REGISTER'!D48)</f>
        <v/>
      </c>
      <c r="E149" s="38" t="str">
        <f>IF(D149="","",MACROECONOMIC!$E$7)</f>
        <v/>
      </c>
      <c r="F149" s="24" t="str">
        <f t="shared" si="0"/>
        <v/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</row>
    <row r="150" spans="2:52" ht="15" customHeight="1" x14ac:dyDescent="0.45">
      <c r="B150" s="33" t="s">
        <v>142</v>
      </c>
      <c r="C150" s="29" t="s">
        <v>5</v>
      </c>
      <c r="D150" s="19" t="str">
        <f>IF('TECHNOLOGY REGISTER'!D49="","",'TECHNOLOGY REGISTER'!D49)</f>
        <v/>
      </c>
      <c r="E150" s="32" t="str">
        <f>IF(D150="","",MACROECONOMIC!$E$7)</f>
        <v/>
      </c>
      <c r="F150" s="32" t="str">
        <f t="shared" si="0"/>
        <v/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</row>
    <row r="151" spans="2:52" ht="15" customHeight="1" x14ac:dyDescent="0.45">
      <c r="B151" s="8" t="s">
        <v>142</v>
      </c>
      <c r="C151" s="30" t="s">
        <v>5</v>
      </c>
      <c r="D151" s="17" t="str">
        <f>IF('TECHNOLOGY REGISTER'!D50="","",'TECHNOLOGY REGISTER'!D50)</f>
        <v/>
      </c>
      <c r="E151" s="38" t="str">
        <f>IF(D151="","",MACROECONOMIC!$E$7)</f>
        <v/>
      </c>
      <c r="F151" s="24" t="str">
        <f t="shared" si="0"/>
        <v/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</row>
    <row r="152" spans="2:52" ht="15" customHeight="1" x14ac:dyDescent="0.45">
      <c r="B152" s="33" t="s">
        <v>142</v>
      </c>
      <c r="C152" s="29" t="s">
        <v>5</v>
      </c>
      <c r="D152" s="19" t="str">
        <f>IF('TECHNOLOGY REGISTER'!D51="","",'TECHNOLOGY REGISTER'!D51)</f>
        <v/>
      </c>
      <c r="E152" s="32" t="str">
        <f>IF(D152="","",MACROECONOMIC!$E$7)</f>
        <v/>
      </c>
      <c r="F152" s="32" t="str">
        <f t="shared" si="0"/>
        <v/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</row>
    <row r="153" spans="2:52" ht="15" customHeight="1" x14ac:dyDescent="0.45">
      <c r="B153" s="8" t="s">
        <v>142</v>
      </c>
      <c r="C153" s="30" t="s">
        <v>5</v>
      </c>
      <c r="D153" s="17" t="str">
        <f>IF('TECHNOLOGY REGISTER'!D52="","",'TECHNOLOGY REGISTER'!D52)</f>
        <v/>
      </c>
      <c r="E153" s="38" t="str">
        <f>IF(D153="","",MACROECONOMIC!$E$7)</f>
        <v/>
      </c>
      <c r="F153" s="24" t="str">
        <f t="shared" si="0"/>
        <v/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</row>
    <row r="154" spans="2:52" ht="15" customHeight="1" x14ac:dyDescent="0.45">
      <c r="B154" s="33" t="s">
        <v>142</v>
      </c>
      <c r="C154" s="29" t="s">
        <v>5</v>
      </c>
      <c r="D154" s="19" t="str">
        <f>IF('TECHNOLOGY REGISTER'!D53="","",'TECHNOLOGY REGISTER'!D53)</f>
        <v/>
      </c>
      <c r="E154" s="32" t="str">
        <f>IF(D154="","",MACROECONOMIC!$E$7)</f>
        <v/>
      </c>
      <c r="F154" s="32" t="str">
        <f t="shared" si="0"/>
        <v/>
      </c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</row>
    <row r="155" spans="2:52" ht="15" customHeight="1" x14ac:dyDescent="0.45">
      <c r="B155" s="8" t="s">
        <v>142</v>
      </c>
      <c r="C155" s="30" t="s">
        <v>5</v>
      </c>
      <c r="D155" s="17" t="str">
        <f>IF('TECHNOLOGY REGISTER'!D54="","",'TECHNOLOGY REGISTER'!D54)</f>
        <v/>
      </c>
      <c r="E155" s="38" t="str">
        <f>IF(D155="","",MACROECONOMIC!$E$7)</f>
        <v/>
      </c>
      <c r="F155" s="24" t="str">
        <f t="shared" si="0"/>
        <v/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</row>
    <row r="156" spans="2:52" ht="15" customHeight="1" x14ac:dyDescent="0.45">
      <c r="B156" s="33" t="s">
        <v>142</v>
      </c>
      <c r="C156" s="29" t="s">
        <v>5</v>
      </c>
      <c r="D156" s="19" t="str">
        <f>IF('TECHNOLOGY REGISTER'!D55="","",'TECHNOLOGY REGISTER'!D55)</f>
        <v/>
      </c>
      <c r="E156" s="32" t="str">
        <f>IF(D156="","",MACROECONOMIC!$E$7)</f>
        <v/>
      </c>
      <c r="F156" s="32" t="str">
        <f t="shared" si="0"/>
        <v/>
      </c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</row>
    <row r="157" spans="2:52" ht="16.05" customHeight="1" thickBot="1" x14ac:dyDescent="0.5">
      <c r="B157" s="8" t="s">
        <v>142</v>
      </c>
      <c r="C157" s="30" t="s">
        <v>5</v>
      </c>
      <c r="D157" s="17" t="str">
        <f>IF('TECHNOLOGY REGISTER'!D56="","",'TECHNOLOGY REGISTER'!D56)</f>
        <v/>
      </c>
      <c r="E157" s="38" t="str">
        <f>IF(D157="","",MACROECONOMIC!$E$7)</f>
        <v/>
      </c>
      <c r="F157" s="24" t="str">
        <f t="shared" si="0"/>
        <v/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</row>
    <row r="158" spans="2:52" customFormat="1" ht="20" customHeight="1" x14ac:dyDescent="0.5">
      <c r="B158" s="69" t="s">
        <v>143</v>
      </c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</row>
    <row r="159" spans="2:52" ht="17" customHeight="1" x14ac:dyDescent="0.45">
      <c r="B159" s="33" t="s">
        <v>144</v>
      </c>
      <c r="C159" s="29" t="s">
        <v>5</v>
      </c>
      <c r="D159" s="19" t="str">
        <f>IF('TECHNOLOGY REGISTER'!D7="","",'TECHNOLOGY REGISTER'!D7)</f>
        <v>Biomass</v>
      </c>
      <c r="E159" s="32" t="str">
        <f>IF(D159="","",MACROECONOMIC!$E$7)</f>
        <v>USD</v>
      </c>
      <c r="F159" s="32" t="str">
        <f>IF(E159="","","Mn "&amp;E159)</f>
        <v>Mn USD</v>
      </c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</row>
    <row r="160" spans="2:52" ht="17" customHeight="1" x14ac:dyDescent="0.45">
      <c r="B160" s="8" t="s">
        <v>144</v>
      </c>
      <c r="C160" s="30" t="s">
        <v>5</v>
      </c>
      <c r="D160" s="17" t="str">
        <f>IF('TECHNOLOGY REGISTER'!D8="","",'TECHNOLOGY REGISTER'!D8)</f>
        <v>Geothermal</v>
      </c>
      <c r="E160" s="38" t="str">
        <f>IF(D160="","",MACROECONOMIC!$E$7)</f>
        <v>USD</v>
      </c>
      <c r="F160" s="24" t="str">
        <f t="shared" ref="F160:F208" si="1">IF(E160="","","Mn "&amp;E160)</f>
        <v>Mn USD</v>
      </c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</row>
    <row r="161" spans="2:52" ht="17" customHeight="1" x14ac:dyDescent="0.45">
      <c r="B161" s="33" t="s">
        <v>144</v>
      </c>
      <c r="C161" s="29" t="s">
        <v>5</v>
      </c>
      <c r="D161" s="19" t="str">
        <f>IF('TECHNOLOGY REGISTER'!D9="","",'TECHNOLOGY REGISTER'!D9)</f>
        <v>Solar PV</v>
      </c>
      <c r="E161" s="32" t="str">
        <f>IF(D161="","",MACROECONOMIC!$E$7)</f>
        <v>USD</v>
      </c>
      <c r="F161" s="32" t="str">
        <f t="shared" si="1"/>
        <v>Mn USD</v>
      </c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</row>
    <row r="162" spans="2:52" ht="17" customHeight="1" x14ac:dyDescent="0.45">
      <c r="B162" s="8" t="s">
        <v>144</v>
      </c>
      <c r="C162" s="30" t="s">
        <v>5</v>
      </c>
      <c r="D162" s="17" t="str">
        <f>IF('TECHNOLOGY REGISTER'!D10="","",'TECHNOLOGY REGISTER'!D10)</f>
        <v>CSP</v>
      </c>
      <c r="E162" s="38" t="str">
        <f>IF(D162="","",MACROECONOMIC!$E$7)</f>
        <v>USD</v>
      </c>
      <c r="F162" s="24" t="str">
        <f t="shared" si="1"/>
        <v>Mn USD</v>
      </c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</row>
    <row r="163" spans="2:52" ht="17" customHeight="1" x14ac:dyDescent="0.45">
      <c r="B163" s="33" t="s">
        <v>144</v>
      </c>
      <c r="C163" s="29" t="s">
        <v>5</v>
      </c>
      <c r="D163" s="19" t="str">
        <f>IF('TECHNOLOGY REGISTER'!D11="","",'TECHNOLOGY REGISTER'!D11)</f>
        <v>Hydropower</v>
      </c>
      <c r="E163" s="32" t="str">
        <f>IF(D163="","",MACROECONOMIC!$E$7)</f>
        <v>USD</v>
      </c>
      <c r="F163" s="32" t="str">
        <f t="shared" si="1"/>
        <v>Mn USD</v>
      </c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</row>
    <row r="164" spans="2:52" ht="17" customHeight="1" x14ac:dyDescent="0.45">
      <c r="B164" s="8" t="s">
        <v>144</v>
      </c>
      <c r="C164" s="30" t="s">
        <v>5</v>
      </c>
      <c r="D164" s="17" t="str">
        <f>IF('TECHNOLOGY REGISTER'!D12="","",'TECHNOLOGY REGISTER'!D12)</f>
        <v>Nuclear</v>
      </c>
      <c r="E164" s="38" t="str">
        <f>IF(D164="","",MACROECONOMIC!$E$7)</f>
        <v>USD</v>
      </c>
      <c r="F164" s="24" t="str">
        <f t="shared" si="1"/>
        <v>Mn USD</v>
      </c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</row>
    <row r="165" spans="2:52" ht="17" customHeight="1" x14ac:dyDescent="0.45">
      <c r="B165" s="33" t="s">
        <v>144</v>
      </c>
      <c r="C165" s="29" t="s">
        <v>5</v>
      </c>
      <c r="D165" s="19" t="str">
        <f>IF('TECHNOLOGY REGISTER'!D13="","",'TECHNOLOGY REGISTER'!D13)</f>
        <v>Wind</v>
      </c>
      <c r="E165" s="32" t="str">
        <f>IF(D165="","",MACROECONOMIC!$E$7)</f>
        <v>USD</v>
      </c>
      <c r="F165" s="32" t="str">
        <f t="shared" si="1"/>
        <v>Mn USD</v>
      </c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</row>
    <row r="166" spans="2:52" ht="17" customHeight="1" x14ac:dyDescent="0.45">
      <c r="B166" s="8" t="s">
        <v>144</v>
      </c>
      <c r="C166" s="30" t="s">
        <v>5</v>
      </c>
      <c r="D166" s="17" t="str">
        <f>IF('TECHNOLOGY REGISTER'!D14="","",'TECHNOLOGY REGISTER'!D14)</f>
        <v>Coal</v>
      </c>
      <c r="E166" s="38" t="str">
        <f>IF(D166="","",MACROECONOMIC!$E$7)</f>
        <v>USD</v>
      </c>
      <c r="F166" s="24" t="str">
        <f t="shared" si="1"/>
        <v>Mn USD</v>
      </c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</row>
    <row r="167" spans="2:52" ht="17" customHeight="1" x14ac:dyDescent="0.45">
      <c r="B167" s="33" t="s">
        <v>144</v>
      </c>
      <c r="C167" s="29" t="s">
        <v>5</v>
      </c>
      <c r="D167" s="19" t="str">
        <f>IF('TECHNOLOGY REGISTER'!D15="","",'TECHNOLOGY REGISTER'!D15)</f>
        <v>Oil</v>
      </c>
      <c r="E167" s="32" t="str">
        <f>IF(D167="","",MACROECONOMIC!$E$7)</f>
        <v>USD</v>
      </c>
      <c r="F167" s="32" t="str">
        <f t="shared" si="1"/>
        <v>Mn USD</v>
      </c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</row>
    <row r="168" spans="2:52" ht="17" customHeight="1" x14ac:dyDescent="0.45">
      <c r="B168" s="8" t="s">
        <v>144</v>
      </c>
      <c r="C168" s="30" t="s">
        <v>5</v>
      </c>
      <c r="D168" s="17" t="str">
        <f>IF('TECHNOLOGY REGISTER'!D16="","",'TECHNOLOGY REGISTER'!D16)</f>
        <v>Gas</v>
      </c>
      <c r="E168" s="38" t="str">
        <f>IF(D168="","",MACROECONOMIC!$E$7)</f>
        <v>USD</v>
      </c>
      <c r="F168" s="24" t="str">
        <f t="shared" si="1"/>
        <v>Mn USD</v>
      </c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</row>
    <row r="169" spans="2:52" ht="17" customHeight="1" x14ac:dyDescent="0.45">
      <c r="B169" s="33" t="s">
        <v>144</v>
      </c>
      <c r="C169" s="29" t="s">
        <v>5</v>
      </c>
      <c r="D169" s="19" t="str">
        <f>IF('TECHNOLOGY REGISTER'!D17="","",'TECHNOLOGY REGISTER'!D17)</f>
        <v>Transmission</v>
      </c>
      <c r="E169" s="32" t="str">
        <f>IF(D169="","",MACROECONOMIC!$E$7)</f>
        <v>USD</v>
      </c>
      <c r="F169" s="32" t="str">
        <f t="shared" si="1"/>
        <v>Mn USD</v>
      </c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</row>
    <row r="170" spans="2:52" ht="17" customHeight="1" x14ac:dyDescent="0.45">
      <c r="B170" s="8" t="s">
        <v>144</v>
      </c>
      <c r="C170" s="30" t="s">
        <v>5</v>
      </c>
      <c r="D170" s="17" t="str">
        <f>IF('TECHNOLOGY REGISTER'!D18="","",'TECHNOLOGY REGISTER'!D18)</f>
        <v>Distribution</v>
      </c>
      <c r="E170" s="38" t="str">
        <f>IF(D170="","",MACROECONOMIC!$E$7)</f>
        <v>USD</v>
      </c>
      <c r="F170" s="24" t="str">
        <f t="shared" si="1"/>
        <v>Mn USD</v>
      </c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</row>
    <row r="171" spans="2:52" ht="17" customHeight="1" x14ac:dyDescent="0.45">
      <c r="B171" s="33" t="s">
        <v>144</v>
      </c>
      <c r="C171" s="29" t="s">
        <v>5</v>
      </c>
      <c r="D171" s="19" t="str">
        <f>IF('TECHNOLOGY REGISTER'!D19="","",'TECHNOLOGY REGISTER'!D19)</f>
        <v>Imports</v>
      </c>
      <c r="E171" s="32" t="str">
        <f>IF(D171="","",MACROECONOMIC!$E$7)</f>
        <v>USD</v>
      </c>
      <c r="F171" s="32" t="str">
        <f t="shared" si="1"/>
        <v>Mn USD</v>
      </c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</row>
    <row r="172" spans="2:52" ht="17" customHeight="1" x14ac:dyDescent="0.45">
      <c r="B172" s="8" t="s">
        <v>144</v>
      </c>
      <c r="C172" s="30" t="s">
        <v>5</v>
      </c>
      <c r="D172" s="17" t="str">
        <f>IF('TECHNOLOGY REGISTER'!D20="","",'TECHNOLOGY REGISTER'!D20)</f>
        <v>Energy Exports</v>
      </c>
      <c r="E172" s="38" t="str">
        <f>IF(D172="","",MACROECONOMIC!$E$7)</f>
        <v>USD</v>
      </c>
      <c r="F172" s="24" t="str">
        <f t="shared" si="1"/>
        <v>Mn USD</v>
      </c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</row>
    <row r="173" spans="2:52" ht="17" customHeight="1" x14ac:dyDescent="0.45">
      <c r="B173" s="33" t="s">
        <v>144</v>
      </c>
      <c r="C173" s="29" t="s">
        <v>5</v>
      </c>
      <c r="D173" s="19" t="str">
        <f>IF('TECHNOLOGY REGISTER'!D21="","",'TECHNOLOGY REGISTER'!D21)</f>
        <v>Direct Solar</v>
      </c>
      <c r="E173" s="32" t="str">
        <f>IF(D173="","",MACROECONOMIC!$E$7)</f>
        <v>USD</v>
      </c>
      <c r="F173" s="32" t="str">
        <f t="shared" si="1"/>
        <v>Mn USD</v>
      </c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</row>
    <row r="174" spans="2:52" ht="15" customHeight="1" x14ac:dyDescent="0.45">
      <c r="B174" s="8" t="s">
        <v>144</v>
      </c>
      <c r="C174" s="30" t="s">
        <v>5</v>
      </c>
      <c r="D174" s="17" t="str">
        <f>IF('TECHNOLOGY REGISTER'!D22="","",'TECHNOLOGY REGISTER'!D22)</f>
        <v>Direct Oil</v>
      </c>
      <c r="E174" s="38" t="str">
        <f>IF(D174="","",MACROECONOMIC!$E$7)</f>
        <v>USD</v>
      </c>
      <c r="F174" s="24" t="str">
        <f t="shared" si="1"/>
        <v>Mn USD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</row>
    <row r="175" spans="2:52" ht="15" customHeight="1" x14ac:dyDescent="0.45">
      <c r="B175" s="33" t="s">
        <v>144</v>
      </c>
      <c r="C175" s="29" t="s">
        <v>5</v>
      </c>
      <c r="D175" s="19" t="str">
        <f>IF('TECHNOLOGY REGISTER'!D23="","",'TECHNOLOGY REGISTER'!D23)</f>
        <v>Direct Hydro</v>
      </c>
      <c r="E175" s="32" t="str">
        <f>IF(D175="","",MACROECONOMIC!$E$7)</f>
        <v>USD</v>
      </c>
      <c r="F175" s="32" t="str">
        <f t="shared" si="1"/>
        <v>Mn USD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</row>
    <row r="176" spans="2:52" ht="15" customHeight="1" x14ac:dyDescent="0.45">
      <c r="B176" s="8" t="s">
        <v>144</v>
      </c>
      <c r="C176" s="30" t="s">
        <v>5</v>
      </c>
      <c r="D176" s="17" t="str">
        <f>IF('TECHNOLOGY REGISTER'!D24="","",'TECHNOLOGY REGISTER'!D24)</f>
        <v/>
      </c>
      <c r="E176" s="38" t="str">
        <f>IF(D176="","",MACROECONOMIC!$E$7)</f>
        <v/>
      </c>
      <c r="F176" s="24" t="str">
        <f t="shared" si="1"/>
        <v/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</row>
    <row r="177" spans="2:52" ht="15" customHeight="1" x14ac:dyDescent="0.45">
      <c r="B177" s="33" t="s">
        <v>144</v>
      </c>
      <c r="C177" s="29" t="s">
        <v>5</v>
      </c>
      <c r="D177" s="19" t="str">
        <f>IF('TECHNOLOGY REGISTER'!D25="","",'TECHNOLOGY REGISTER'!D25)</f>
        <v/>
      </c>
      <c r="E177" s="32" t="str">
        <f>IF(D177="","",MACROECONOMIC!$E$7)</f>
        <v/>
      </c>
      <c r="F177" s="32" t="str">
        <f t="shared" si="1"/>
        <v/>
      </c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2:52" ht="15" customHeight="1" x14ac:dyDescent="0.45">
      <c r="B178" s="8" t="s">
        <v>144</v>
      </c>
      <c r="C178" s="30" t="s">
        <v>5</v>
      </c>
      <c r="D178" s="17" t="str">
        <f>IF('TECHNOLOGY REGISTER'!D26="","",'TECHNOLOGY REGISTER'!D26)</f>
        <v/>
      </c>
      <c r="E178" s="38" t="str">
        <f>IF(D178="","",MACROECONOMIC!$E$7)</f>
        <v/>
      </c>
      <c r="F178" s="24" t="str">
        <f t="shared" si="1"/>
        <v/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</row>
    <row r="179" spans="2:52" ht="15" customHeight="1" x14ac:dyDescent="0.45">
      <c r="B179" s="33" t="s">
        <v>144</v>
      </c>
      <c r="C179" s="29" t="s">
        <v>5</v>
      </c>
      <c r="D179" s="19" t="str">
        <f>IF('TECHNOLOGY REGISTER'!D27="","",'TECHNOLOGY REGISTER'!D27)</f>
        <v/>
      </c>
      <c r="E179" s="32" t="str">
        <f>IF(D179="","",MACROECONOMIC!$E$7)</f>
        <v/>
      </c>
      <c r="F179" s="32" t="str">
        <f t="shared" si="1"/>
        <v/>
      </c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</row>
    <row r="180" spans="2:52" ht="15" customHeight="1" x14ac:dyDescent="0.45">
      <c r="B180" s="8" t="s">
        <v>144</v>
      </c>
      <c r="C180" s="30" t="s">
        <v>5</v>
      </c>
      <c r="D180" s="17" t="str">
        <f>IF('TECHNOLOGY REGISTER'!D28="","",'TECHNOLOGY REGISTER'!D28)</f>
        <v/>
      </c>
      <c r="E180" s="38" t="str">
        <f>IF(D180="","",MACROECONOMIC!$E$7)</f>
        <v/>
      </c>
      <c r="F180" s="24" t="str">
        <f t="shared" si="1"/>
        <v/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</row>
    <row r="181" spans="2:52" ht="15" customHeight="1" x14ac:dyDescent="0.45">
      <c r="B181" s="33" t="s">
        <v>144</v>
      </c>
      <c r="C181" s="29" t="s">
        <v>5</v>
      </c>
      <c r="D181" s="19" t="str">
        <f>IF('TECHNOLOGY REGISTER'!D29="","",'TECHNOLOGY REGISTER'!D29)</f>
        <v/>
      </c>
      <c r="E181" s="32" t="str">
        <f>IF(D181="","",MACROECONOMIC!$E$7)</f>
        <v/>
      </c>
      <c r="F181" s="32" t="str">
        <f t="shared" si="1"/>
        <v/>
      </c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</row>
    <row r="182" spans="2:52" ht="15" customHeight="1" x14ac:dyDescent="0.45">
      <c r="B182" s="8" t="s">
        <v>144</v>
      </c>
      <c r="C182" s="30" t="s">
        <v>5</v>
      </c>
      <c r="D182" s="17" t="str">
        <f>IF('TECHNOLOGY REGISTER'!D30="","",'TECHNOLOGY REGISTER'!D30)</f>
        <v/>
      </c>
      <c r="E182" s="38" t="str">
        <f>IF(D182="","",MACROECONOMIC!$E$7)</f>
        <v/>
      </c>
      <c r="F182" s="24" t="str">
        <f t="shared" si="1"/>
        <v/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</row>
    <row r="183" spans="2:52" ht="15" customHeight="1" x14ac:dyDescent="0.45">
      <c r="B183" s="33" t="s">
        <v>144</v>
      </c>
      <c r="C183" s="29" t="s">
        <v>5</v>
      </c>
      <c r="D183" s="19" t="str">
        <f>IF('TECHNOLOGY REGISTER'!D31="","",'TECHNOLOGY REGISTER'!D31)</f>
        <v/>
      </c>
      <c r="E183" s="32" t="str">
        <f>IF(D183="","",MACROECONOMIC!$E$7)</f>
        <v/>
      </c>
      <c r="F183" s="32" t="str">
        <f t="shared" si="1"/>
        <v/>
      </c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</row>
    <row r="184" spans="2:52" ht="15" customHeight="1" x14ac:dyDescent="0.45">
      <c r="B184" s="8" t="s">
        <v>144</v>
      </c>
      <c r="C184" s="30" t="s">
        <v>5</v>
      </c>
      <c r="D184" s="17" t="str">
        <f>IF('TECHNOLOGY REGISTER'!D32="","",'TECHNOLOGY REGISTER'!D32)</f>
        <v/>
      </c>
      <c r="E184" s="38" t="str">
        <f>IF(D184="","",MACROECONOMIC!$E$7)</f>
        <v/>
      </c>
      <c r="F184" s="24" t="str">
        <f t="shared" si="1"/>
        <v/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</row>
    <row r="185" spans="2:52" ht="15" customHeight="1" x14ac:dyDescent="0.45">
      <c r="B185" s="33" t="s">
        <v>144</v>
      </c>
      <c r="C185" s="29" t="s">
        <v>5</v>
      </c>
      <c r="D185" s="19" t="str">
        <f>IF('TECHNOLOGY REGISTER'!D33="","",'TECHNOLOGY REGISTER'!D33)</f>
        <v/>
      </c>
      <c r="E185" s="32" t="str">
        <f>IF(D185="","",MACROECONOMIC!$E$7)</f>
        <v/>
      </c>
      <c r="F185" s="32" t="str">
        <f t="shared" si="1"/>
        <v/>
      </c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</row>
    <row r="186" spans="2:52" ht="15" customHeight="1" x14ac:dyDescent="0.45">
      <c r="B186" s="8" t="s">
        <v>144</v>
      </c>
      <c r="C186" s="30" t="s">
        <v>5</v>
      </c>
      <c r="D186" s="17" t="str">
        <f>IF('TECHNOLOGY REGISTER'!D34="","",'TECHNOLOGY REGISTER'!D34)</f>
        <v/>
      </c>
      <c r="E186" s="38" t="str">
        <f>IF(D186="","",MACROECONOMIC!$E$7)</f>
        <v/>
      </c>
      <c r="F186" s="24" t="str">
        <f t="shared" si="1"/>
        <v/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</row>
    <row r="187" spans="2:52" ht="15" customHeight="1" x14ac:dyDescent="0.45">
      <c r="B187" s="33" t="s">
        <v>144</v>
      </c>
      <c r="C187" s="29" t="s">
        <v>5</v>
      </c>
      <c r="D187" s="19" t="str">
        <f>IF('TECHNOLOGY REGISTER'!D35="","",'TECHNOLOGY REGISTER'!D35)</f>
        <v/>
      </c>
      <c r="E187" s="32" t="str">
        <f>IF(D187="","",MACROECONOMIC!$E$7)</f>
        <v/>
      </c>
      <c r="F187" s="32" t="str">
        <f t="shared" si="1"/>
        <v/>
      </c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</row>
    <row r="188" spans="2:52" ht="15" customHeight="1" x14ac:dyDescent="0.45">
      <c r="B188" s="8" t="s">
        <v>144</v>
      </c>
      <c r="C188" s="30" t="s">
        <v>5</v>
      </c>
      <c r="D188" s="17" t="str">
        <f>IF('TECHNOLOGY REGISTER'!D36="","",'TECHNOLOGY REGISTER'!D36)</f>
        <v/>
      </c>
      <c r="E188" s="38" t="str">
        <f>IF(D188="","",MACROECONOMIC!$E$7)</f>
        <v/>
      </c>
      <c r="F188" s="24" t="str">
        <f t="shared" si="1"/>
        <v/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</row>
    <row r="189" spans="2:52" ht="15" customHeight="1" x14ac:dyDescent="0.45">
      <c r="B189" s="33" t="s">
        <v>144</v>
      </c>
      <c r="C189" s="29" t="s">
        <v>5</v>
      </c>
      <c r="D189" s="19" t="str">
        <f>IF('TECHNOLOGY REGISTER'!D37="","",'TECHNOLOGY REGISTER'!D37)</f>
        <v/>
      </c>
      <c r="E189" s="32" t="str">
        <f>IF(D189="","",MACROECONOMIC!$E$7)</f>
        <v/>
      </c>
      <c r="F189" s="32" t="str">
        <f t="shared" si="1"/>
        <v/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</row>
    <row r="190" spans="2:52" ht="15" customHeight="1" x14ac:dyDescent="0.45">
      <c r="B190" s="8" t="s">
        <v>144</v>
      </c>
      <c r="C190" s="30" t="s">
        <v>5</v>
      </c>
      <c r="D190" s="17" t="str">
        <f>IF('TECHNOLOGY REGISTER'!D38="","",'TECHNOLOGY REGISTER'!D38)</f>
        <v/>
      </c>
      <c r="E190" s="38" t="str">
        <f>IF(D190="","",MACROECONOMIC!$E$7)</f>
        <v/>
      </c>
      <c r="F190" s="24" t="str">
        <f t="shared" si="1"/>
        <v/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</row>
    <row r="191" spans="2:52" ht="15" customHeight="1" x14ac:dyDescent="0.45">
      <c r="B191" s="33" t="s">
        <v>144</v>
      </c>
      <c r="C191" s="29" t="s">
        <v>5</v>
      </c>
      <c r="D191" s="19" t="str">
        <f>IF('TECHNOLOGY REGISTER'!D39="","",'TECHNOLOGY REGISTER'!D39)</f>
        <v/>
      </c>
      <c r="E191" s="32" t="str">
        <f>IF(D191="","",MACROECONOMIC!$E$7)</f>
        <v/>
      </c>
      <c r="F191" s="32" t="str">
        <f t="shared" si="1"/>
        <v/>
      </c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</row>
    <row r="192" spans="2:52" ht="15" customHeight="1" x14ac:dyDescent="0.45">
      <c r="B192" s="8" t="s">
        <v>144</v>
      </c>
      <c r="C192" s="30" t="s">
        <v>5</v>
      </c>
      <c r="D192" s="17" t="str">
        <f>IF('TECHNOLOGY REGISTER'!D40="","",'TECHNOLOGY REGISTER'!D40)</f>
        <v/>
      </c>
      <c r="E192" s="38" t="str">
        <f>IF(D192="","",MACROECONOMIC!$E$7)</f>
        <v/>
      </c>
      <c r="F192" s="24" t="str">
        <f t="shared" si="1"/>
        <v/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</row>
    <row r="193" spans="2:52" ht="15" customHeight="1" x14ac:dyDescent="0.45">
      <c r="B193" s="33" t="s">
        <v>144</v>
      </c>
      <c r="C193" s="29" t="s">
        <v>5</v>
      </c>
      <c r="D193" s="19" t="str">
        <f>IF('TECHNOLOGY REGISTER'!D41="","",'TECHNOLOGY REGISTER'!D41)</f>
        <v/>
      </c>
      <c r="E193" s="32" t="str">
        <f>IF(D193="","",MACROECONOMIC!$E$7)</f>
        <v/>
      </c>
      <c r="F193" s="32" t="str">
        <f t="shared" si="1"/>
        <v/>
      </c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2:52" ht="15" customHeight="1" x14ac:dyDescent="0.45">
      <c r="B194" s="8" t="s">
        <v>144</v>
      </c>
      <c r="C194" s="30" t="s">
        <v>5</v>
      </c>
      <c r="D194" s="17" t="str">
        <f>IF('TECHNOLOGY REGISTER'!D42="","",'TECHNOLOGY REGISTER'!D42)</f>
        <v/>
      </c>
      <c r="E194" s="38" t="str">
        <f>IF(D194="","",MACROECONOMIC!$E$7)</f>
        <v/>
      </c>
      <c r="F194" s="24" t="str">
        <f t="shared" si="1"/>
        <v/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</row>
    <row r="195" spans="2:52" ht="15" customHeight="1" x14ac:dyDescent="0.45">
      <c r="B195" s="33" t="s">
        <v>144</v>
      </c>
      <c r="C195" s="29" t="s">
        <v>5</v>
      </c>
      <c r="D195" s="19" t="str">
        <f>IF('TECHNOLOGY REGISTER'!D43="","",'TECHNOLOGY REGISTER'!D43)</f>
        <v/>
      </c>
      <c r="E195" s="32" t="str">
        <f>IF(D195="","",MACROECONOMIC!$E$7)</f>
        <v/>
      </c>
      <c r="F195" s="32" t="str">
        <f t="shared" si="1"/>
        <v/>
      </c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</row>
    <row r="196" spans="2:52" ht="15" customHeight="1" x14ac:dyDescent="0.45">
      <c r="B196" s="8" t="s">
        <v>144</v>
      </c>
      <c r="C196" s="30" t="s">
        <v>5</v>
      </c>
      <c r="D196" s="17" t="str">
        <f>IF('TECHNOLOGY REGISTER'!D44="","",'TECHNOLOGY REGISTER'!D44)</f>
        <v/>
      </c>
      <c r="E196" s="38" t="str">
        <f>IF(D196="","",MACROECONOMIC!$E$7)</f>
        <v/>
      </c>
      <c r="F196" s="24" t="str">
        <f t="shared" si="1"/>
        <v/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</row>
    <row r="197" spans="2:52" ht="15" customHeight="1" x14ac:dyDescent="0.45">
      <c r="B197" s="33" t="s">
        <v>144</v>
      </c>
      <c r="C197" s="29" t="s">
        <v>5</v>
      </c>
      <c r="D197" s="19" t="str">
        <f>IF('TECHNOLOGY REGISTER'!D45="","",'TECHNOLOGY REGISTER'!D45)</f>
        <v/>
      </c>
      <c r="E197" s="32" t="str">
        <f>IF(D197="","",MACROECONOMIC!$E$7)</f>
        <v/>
      </c>
      <c r="F197" s="32" t="str">
        <f t="shared" si="1"/>
        <v/>
      </c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</row>
    <row r="198" spans="2:52" ht="15" customHeight="1" x14ac:dyDescent="0.45">
      <c r="B198" s="8" t="s">
        <v>144</v>
      </c>
      <c r="C198" s="30" t="s">
        <v>5</v>
      </c>
      <c r="D198" s="17" t="str">
        <f>IF('TECHNOLOGY REGISTER'!D46="","",'TECHNOLOGY REGISTER'!D46)</f>
        <v/>
      </c>
      <c r="E198" s="38" t="str">
        <f>IF(D198="","",MACROECONOMIC!$E$7)</f>
        <v/>
      </c>
      <c r="F198" s="24" t="str">
        <f t="shared" si="1"/>
        <v/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</row>
    <row r="199" spans="2:52" ht="15" customHeight="1" x14ac:dyDescent="0.45">
      <c r="B199" s="33" t="s">
        <v>144</v>
      </c>
      <c r="C199" s="29" t="s">
        <v>5</v>
      </c>
      <c r="D199" s="19" t="str">
        <f>IF('TECHNOLOGY REGISTER'!D47="","",'TECHNOLOGY REGISTER'!D47)</f>
        <v/>
      </c>
      <c r="E199" s="32" t="str">
        <f>IF(D199="","",MACROECONOMIC!$E$7)</f>
        <v/>
      </c>
      <c r="F199" s="32" t="str">
        <f t="shared" si="1"/>
        <v/>
      </c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</row>
    <row r="200" spans="2:52" ht="15" customHeight="1" x14ac:dyDescent="0.45">
      <c r="B200" s="8" t="s">
        <v>144</v>
      </c>
      <c r="C200" s="30" t="s">
        <v>5</v>
      </c>
      <c r="D200" s="17" t="str">
        <f>IF('TECHNOLOGY REGISTER'!D48="","",'TECHNOLOGY REGISTER'!D48)</f>
        <v/>
      </c>
      <c r="E200" s="38" t="str">
        <f>IF(D200="","",MACROECONOMIC!$E$7)</f>
        <v/>
      </c>
      <c r="F200" s="24" t="str">
        <f t="shared" si="1"/>
        <v/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</row>
    <row r="201" spans="2:52" ht="15" customHeight="1" x14ac:dyDescent="0.45">
      <c r="B201" s="33" t="s">
        <v>144</v>
      </c>
      <c r="C201" s="29" t="s">
        <v>5</v>
      </c>
      <c r="D201" s="19" t="str">
        <f>IF('TECHNOLOGY REGISTER'!D49="","",'TECHNOLOGY REGISTER'!D49)</f>
        <v/>
      </c>
      <c r="E201" s="32" t="str">
        <f>IF(D201="","",MACROECONOMIC!$E$7)</f>
        <v/>
      </c>
      <c r="F201" s="32" t="str">
        <f t="shared" si="1"/>
        <v/>
      </c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</row>
    <row r="202" spans="2:52" ht="15" customHeight="1" x14ac:dyDescent="0.45">
      <c r="B202" s="8" t="s">
        <v>144</v>
      </c>
      <c r="C202" s="30" t="s">
        <v>5</v>
      </c>
      <c r="D202" s="17" t="str">
        <f>IF('TECHNOLOGY REGISTER'!D50="","",'TECHNOLOGY REGISTER'!D50)</f>
        <v/>
      </c>
      <c r="E202" s="38" t="str">
        <f>IF(D202="","",MACROECONOMIC!$E$7)</f>
        <v/>
      </c>
      <c r="F202" s="24" t="str">
        <f t="shared" si="1"/>
        <v/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</row>
    <row r="203" spans="2:52" ht="15" customHeight="1" x14ac:dyDescent="0.45">
      <c r="B203" s="33" t="s">
        <v>144</v>
      </c>
      <c r="C203" s="29" t="s">
        <v>5</v>
      </c>
      <c r="D203" s="19" t="str">
        <f>IF('TECHNOLOGY REGISTER'!D51="","",'TECHNOLOGY REGISTER'!D51)</f>
        <v/>
      </c>
      <c r="E203" s="32" t="str">
        <f>IF(D203="","",MACROECONOMIC!$E$7)</f>
        <v/>
      </c>
      <c r="F203" s="32" t="str">
        <f t="shared" si="1"/>
        <v/>
      </c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</row>
    <row r="204" spans="2:52" ht="15" customHeight="1" x14ac:dyDescent="0.45">
      <c r="B204" s="8" t="s">
        <v>144</v>
      </c>
      <c r="C204" s="30" t="s">
        <v>5</v>
      </c>
      <c r="D204" s="17" t="str">
        <f>IF('TECHNOLOGY REGISTER'!D52="","",'TECHNOLOGY REGISTER'!D52)</f>
        <v/>
      </c>
      <c r="E204" s="38" t="str">
        <f>IF(D204="","",MACROECONOMIC!$E$7)</f>
        <v/>
      </c>
      <c r="F204" s="24" t="str">
        <f t="shared" si="1"/>
        <v/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</row>
    <row r="205" spans="2:52" ht="15" customHeight="1" x14ac:dyDescent="0.45">
      <c r="B205" s="33" t="s">
        <v>144</v>
      </c>
      <c r="C205" s="29" t="s">
        <v>5</v>
      </c>
      <c r="D205" s="19" t="str">
        <f>IF('TECHNOLOGY REGISTER'!D53="","",'TECHNOLOGY REGISTER'!D53)</f>
        <v/>
      </c>
      <c r="E205" s="32" t="str">
        <f>IF(D205="","",MACROECONOMIC!$E$7)</f>
        <v/>
      </c>
      <c r="F205" s="32" t="str">
        <f t="shared" si="1"/>
        <v/>
      </c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</row>
    <row r="206" spans="2:52" ht="15" customHeight="1" x14ac:dyDescent="0.45">
      <c r="B206" s="8" t="s">
        <v>144</v>
      </c>
      <c r="C206" s="30" t="s">
        <v>5</v>
      </c>
      <c r="D206" s="17" t="str">
        <f>IF('TECHNOLOGY REGISTER'!D54="","",'TECHNOLOGY REGISTER'!D54)</f>
        <v/>
      </c>
      <c r="E206" s="38" t="str">
        <f>IF(D206="","",MACROECONOMIC!$E$7)</f>
        <v/>
      </c>
      <c r="F206" s="24" t="str">
        <f t="shared" si="1"/>
        <v/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</row>
    <row r="207" spans="2:52" ht="15" customHeight="1" x14ac:dyDescent="0.45">
      <c r="B207" s="33" t="s">
        <v>144</v>
      </c>
      <c r="C207" s="29" t="s">
        <v>5</v>
      </c>
      <c r="D207" s="19" t="str">
        <f>IF('TECHNOLOGY REGISTER'!D55="","",'TECHNOLOGY REGISTER'!D55)</f>
        <v/>
      </c>
      <c r="E207" s="32" t="str">
        <f>IF(D207="","",MACROECONOMIC!$E$7)</f>
        <v/>
      </c>
      <c r="F207" s="32" t="str">
        <f t="shared" si="1"/>
        <v/>
      </c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</row>
    <row r="208" spans="2:52" ht="15" customHeight="1" x14ac:dyDescent="0.45">
      <c r="B208" s="8" t="s">
        <v>144</v>
      </c>
      <c r="C208" s="30" t="s">
        <v>5</v>
      </c>
      <c r="D208" s="17" t="str">
        <f>IF('TECHNOLOGY REGISTER'!D56="","",'TECHNOLOGY REGISTER'!D56)</f>
        <v/>
      </c>
      <c r="E208" s="38" t="str">
        <f>IF(D208="","",MACROECONOMIC!$E$7)</f>
        <v/>
      </c>
      <c r="F208" s="24" t="str">
        <f t="shared" si="1"/>
        <v/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</row>
  </sheetData>
  <mergeCells count="5">
    <mergeCell ref="B1:AZ1"/>
    <mergeCell ref="B5:AZ5"/>
    <mergeCell ref="B56:AZ56"/>
    <mergeCell ref="B107:AZ107"/>
    <mergeCell ref="B158:AZ158"/>
  </mergeCells>
  <hyperlinks>
    <hyperlink ref="B2" location="COVER!A1" display="← Return to COVER" xr:uid="{CBACE921-4616-C343-9041-A2B7364E66E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MACROECONOMIC</vt:lpstr>
      <vt:lpstr>TECHNOLOGY REGISTER</vt:lpstr>
      <vt:lpstr>INVESTMENT PLAN</vt:lpstr>
      <vt:lpstr>EXISTING INFRASTRUCTURE</vt:lpstr>
      <vt:lpstr>NEW INFRASTRUCTURE</vt:lpstr>
      <vt:lpstr>PPA REVENUE</vt:lpstr>
      <vt:lpstr>WHOLESALE REVENUE</vt:lpstr>
      <vt:lpstr>OTHER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Luscombe</dc:creator>
  <cp:lastModifiedBy>Zixuan Liu</cp:lastModifiedBy>
  <dcterms:created xsi:type="dcterms:W3CDTF">2026-04-10T14:38:02Z</dcterms:created>
  <dcterms:modified xsi:type="dcterms:W3CDTF">2026-05-07T21:05:50Z</dcterms:modified>
</cp:coreProperties>
</file>